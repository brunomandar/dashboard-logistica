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F305013\Downloads\"/>
    </mc:Choice>
  </mc:AlternateContent>
  <xr:revisionPtr revIDLastSave="0" documentId="13_ncr:1_{B74E0AC6-7973-41AE-B693-2540E2393C21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DASHBOARD" sheetId="3" r:id="rId1"/>
    <sheet name="HISTORICO" sheetId="4" r:id="rId2"/>
    <sheet name="LISTAS" sheetId="2" r:id="rId3"/>
    <sheet name="PORTFOLIO_LOGISTICA" sheetId="1" r:id="rId4"/>
  </sheets>
  <definedNames>
    <definedName name="_xlnm._FilterDatabase" localSheetId="3" hidden="1">PORTFOLIO_LOGISTICA!$A$2:$S$53</definedName>
    <definedName name="_xlnm.Print_Titles" localSheetId="3">PORTFOLIO_LOGISTICA!$1:$2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2" i="4"/>
  <c r="F69" i="1"/>
  <c r="D53" i="3" s="1"/>
  <c r="F68" i="1"/>
  <c r="D52" i="3" s="1"/>
  <c r="F67" i="1"/>
  <c r="D51" i="3" s="1"/>
  <c r="F66" i="1"/>
  <c r="D50" i="3" s="1"/>
  <c r="F65" i="1"/>
  <c r="D49" i="3" s="1"/>
  <c r="F64" i="1"/>
  <c r="D48" i="3" s="1"/>
  <c r="F23" i="3"/>
  <c r="D23" i="3"/>
  <c r="B23" i="3"/>
  <c r="G18" i="3"/>
  <c r="G17" i="3"/>
  <c r="G16" i="3"/>
  <c r="G15" i="3"/>
  <c r="G11" i="3"/>
  <c r="G10" i="3"/>
  <c r="G9" i="3"/>
  <c r="G8" i="3"/>
  <c r="C13" i="3"/>
  <c r="C12" i="3"/>
  <c r="C11" i="3"/>
  <c r="C10" i="3"/>
  <c r="C9" i="3"/>
  <c r="C8" i="3"/>
  <c r="H4" i="3"/>
  <c r="F4" i="3"/>
  <c r="D4" i="3"/>
  <c r="P58" i="1"/>
  <c r="O58" i="1"/>
  <c r="N58" i="1"/>
  <c r="A56" i="1"/>
  <c r="Q56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7" i="1"/>
  <c r="B4" i="3" l="1"/>
  <c r="E52" i="3"/>
  <c r="E53" i="3"/>
  <c r="E49" i="3"/>
  <c r="E51" i="3"/>
  <c r="E50" i="3"/>
  <c r="E48" i="3"/>
  <c r="H23" i="3"/>
  <c r="C14" i="3"/>
  <c r="A2" i="3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C18" i="3" l="1"/>
  <c r="C20" i="3"/>
  <c r="C19" i="3"/>
</calcChain>
</file>

<file path=xl/sharedStrings.xml><?xml version="1.0" encoding="utf-8"?>
<sst xmlns="http://schemas.openxmlformats.org/spreadsheetml/2006/main" count="704" uniqueCount="243">
  <si>
    <t>📊 DASHBOARD - PORTFOLIO LOGÍSTICA 2026</t>
  </si>
  <si>
    <t>📋 TOTAL PROJETOS</t>
  </si>
  <si>
    <t>🟢 EM DIA</t>
  </si>
  <si>
    <t>🟡 ATENÇÃO</t>
  </si>
  <si>
    <t>🔴 CRÍTICO</t>
  </si>
  <si>
    <t>📊 DISTRIBUIÇÃO POR STAGE</t>
  </si>
  <si>
    <t>📊 DISTRIBUIÇÃO POR PRIORIDADE</t>
  </si>
  <si>
    <t>Stage</t>
  </si>
  <si>
    <t>Descrição</t>
  </si>
  <si>
    <t>Qtd</t>
  </si>
  <si>
    <t>Prioridade</t>
  </si>
  <si>
    <t>Cor</t>
  </si>
  <si>
    <t>L0</t>
  </si>
  <si>
    <t>Ideia / Conceito</t>
  </si>
  <si>
    <t>Alta</t>
  </si>
  <si>
    <t>🔴</t>
  </si>
  <si>
    <t>L1</t>
  </si>
  <si>
    <t>Em Análise / Estudo</t>
  </si>
  <si>
    <t>Média</t>
  </si>
  <si>
    <t>🟡</t>
  </si>
  <si>
    <t>L2</t>
  </si>
  <si>
    <t>Planejamento</t>
  </si>
  <si>
    <t>Baixa</t>
  </si>
  <si>
    <t>🟢</t>
  </si>
  <si>
    <t>L3</t>
  </si>
  <si>
    <t>Em Execução</t>
  </si>
  <si>
    <t>Não definido</t>
  </si>
  <si>
    <t>⚪</t>
  </si>
  <si>
    <t>L4</t>
  </si>
  <si>
    <t>Implantação</t>
  </si>
  <si>
    <t>L5</t>
  </si>
  <si>
    <t>Concluído</t>
  </si>
  <si>
    <t>📊 DISTRIBUIÇÃO POR GERÊNCIA</t>
  </si>
  <si>
    <t>TOTAL</t>
  </si>
  <si>
    <t>Gerência</t>
  </si>
  <si>
    <t>Resp.</t>
  </si>
  <si>
    <t>Transportes</t>
  </si>
  <si>
    <t>Ana Ferreira</t>
  </si>
  <si>
    <t>⚠️ ALERTAS DE PRAZO</t>
  </si>
  <si>
    <t>Desconexão</t>
  </si>
  <si>
    <t>Carlos Silva</t>
  </si>
  <si>
    <t>Indicador</t>
  </si>
  <si>
    <t>Símbolo</t>
  </si>
  <si>
    <t>Estoques</t>
  </si>
  <si>
    <t>Roberto Lima</t>
  </si>
  <si>
    <t>Atrasados</t>
  </si>
  <si>
    <t>⚠️</t>
  </si>
  <si>
    <t>Fernanda Costa</t>
  </si>
  <si>
    <t>Próximos (&lt;30d)</t>
  </si>
  <si>
    <t>⏰</t>
  </si>
  <si>
    <t>No Prazo</t>
  </si>
  <si>
    <t>✅</t>
  </si>
  <si>
    <t>💰 INDICADORES FINANCEIROS (R$ MM)</t>
  </si>
  <si>
    <t>🎯 Meta 2026</t>
  </si>
  <si>
    <t>📈 Realizado</t>
  </si>
  <si>
    <t>📊 Saldo</t>
  </si>
  <si>
    <t>% Ating.</t>
  </si>
  <si>
    <t>🚨 PROJETOS CRÍTICOS / EM ATENÇÃO</t>
  </si>
  <si>
    <t>(Lista os projetos com Status 'Crítico' ou 'Atenção' para acompanhamento prioritário)</t>
  </si>
  <si>
    <t>📊 PIPELINE DE MATURIDADE DOS PROJETOS (STAGE GATE)</t>
  </si>
  <si>
    <t>Metodologia de acompanhamento do ciclo de vida dos projetos - da ideação até a conclusão</t>
  </si>
  <si>
    <t>Ícone</t>
  </si>
  <si>
    <t>Fase</t>
  </si>
  <si>
    <t>%</t>
  </si>
  <si>
    <t>💡</t>
  </si>
  <si>
    <t>Projeto em fase inicial de ideação, sem business case formal</t>
  </si>
  <si>
    <t>🔍</t>
  </si>
  <si>
    <t>Em Análise</t>
  </si>
  <si>
    <t>Business case em construção, análise de viabilidade</t>
  </si>
  <si>
    <t>📋</t>
  </si>
  <si>
    <t>Projeto aprovado, definição de escopo e cronograma</t>
  </si>
  <si>
    <t>⚙️</t>
  </si>
  <si>
    <t>Atividades em andamento, entregas sendo realizadas</t>
  </si>
  <si>
    <t>🚀</t>
  </si>
  <si>
    <t>Fase de deploy, go-live ou rollout em andamento</t>
  </si>
  <si>
    <t>Projeto finalizado, todas as entregas concluídas</t>
  </si>
  <si>
    <t>ID</t>
  </si>
  <si>
    <t>Status</t>
  </si>
  <si>
    <t>Data Inicio</t>
  </si>
  <si>
    <t>Data Fim</t>
  </si>
  <si>
    <t>Dias no Status</t>
  </si>
  <si>
    <t>LOG-02</t>
  </si>
  <si>
    <t>LOG-05</t>
  </si>
  <si>
    <t>TIPO</t>
  </si>
  <si>
    <t>Responsabilidade</t>
  </si>
  <si>
    <t>DGP</t>
  </si>
  <si>
    <t>Execução Operacional</t>
  </si>
  <si>
    <t>🟢 Em Dia</t>
  </si>
  <si>
    <t>OPEX</t>
  </si>
  <si>
    <t>Acompanhamento</t>
  </si>
  <si>
    <t>🟡 Atenção</t>
  </si>
  <si>
    <t>CAPEX</t>
  </si>
  <si>
    <t>Execução Financeira</t>
  </si>
  <si>
    <t>🔴 Crítico</t>
  </si>
  <si>
    <t>RECEITA</t>
  </si>
  <si>
    <t>CUSTO EVITADO</t>
  </si>
  <si>
    <t>📊 PORTFOLIO DE PROJETOS LOGÍSTICA 2026 | CLARO</t>
  </si>
  <si>
    <t>Projeto</t>
  </si>
  <si>
    <t>Forum</t>
  </si>
  <si>
    <t>Gerencia</t>
  </si>
  <si>
    <t>Tipo</t>
  </si>
  <si>
    <t>PMO Responsável</t>
  </si>
  <si>
    <t>Nome Responsável</t>
  </si>
  <si>
    <t>Início</t>
  </si>
  <si>
    <t>Fim Planejado</t>
  </si>
  <si>
    <t>Meta
2026</t>
  </si>
  <si>
    <t>Realizado+ FCST
2026</t>
  </si>
  <si>
    <t>Saldo</t>
  </si>
  <si>
    <t>Indicador Prazo</t>
  </si>
  <si>
    <t>AÇÕES</t>
  </si>
  <si>
    <t>Observações</t>
  </si>
  <si>
    <t>Eficiência Desconexão – RPA Terminais Presos (Carry Over)</t>
  </si>
  <si>
    <t>DGP / RAI – Estratégico</t>
  </si>
  <si>
    <t>Helder</t>
  </si>
  <si>
    <t>Dino / Diego</t>
  </si>
  <si>
    <t>02/04 - Entregue (0,22)</t>
  </si>
  <si>
    <t>Redução para 28 PAs</t>
  </si>
  <si>
    <t>APP Devolução em Loja (Expansão AA)</t>
  </si>
  <si>
    <t>Dino / Ismael</t>
  </si>
  <si>
    <t>02/04 - FUP Ismael (0,02)</t>
  </si>
  <si>
    <t>S&amp;OP Móvel (Carry Over)</t>
  </si>
  <si>
    <t>Helder / Quinete / Raquel</t>
  </si>
  <si>
    <t>09/04 - Calendarizações impactadas por lançamentos IPHONE/SAMSUNG/MOTOROLA</t>
  </si>
  <si>
    <t>Robô teve alteração do FCST pois inicia captura em Jul/26. Robô não aprovado, em transferência de Verba</t>
  </si>
  <si>
    <t>OBZ Transporte (Carry Over)</t>
  </si>
  <si>
    <t>Lencione / Helder</t>
  </si>
  <si>
    <t>01/04 - Entregue (2,1). FCST ajustado de 6,9 para 5,9 (aumento combustível)</t>
  </si>
  <si>
    <t>02/04 - FCST ajustado em função do aumento do combustível temos impacto na meta</t>
  </si>
  <si>
    <t>Venda de Ativo</t>
  </si>
  <si>
    <t>Gustavo / Estoque</t>
  </si>
  <si>
    <t>02/04 - Entregue 1,26</t>
  </si>
  <si>
    <t>12/03 - FCST atualizado por Gustavo. Obs: na revisão o FCST migra de 14,27 para 14,027</t>
  </si>
  <si>
    <t>Projeto Retirada de Equipamento por Regional</t>
  </si>
  <si>
    <t>Dino / Bruno Pires</t>
  </si>
  <si>
    <t>Previsto</t>
  </si>
  <si>
    <t>02/04 - Em validação Dino e Edgar. Seguirá este mês como L0</t>
  </si>
  <si>
    <t>Alinhamento com Dino para 31/03 (Atualização do Racional)</t>
  </si>
  <si>
    <t>Redução de Controle de Materiais – Estoque dos Técnicos</t>
  </si>
  <si>
    <t>Ademilson / Eder</t>
  </si>
  <si>
    <t>08/04 - Agenda avaliar ações independente TI (16,7) - Agenda 08/04</t>
  </si>
  <si>
    <t>06/04 - Montar proposta para apresentar potencial ganho 2026. R$ 16,7MM (sem previsão captura)</t>
  </si>
  <si>
    <t>Massificação eSIM (Saving Logístico)</t>
  </si>
  <si>
    <t>10/04 - Agenda semana 10/04 com times de produtos e Financeiro</t>
  </si>
  <si>
    <t>Ganhos não iniciados. Projeto reportado por produtos</t>
  </si>
  <si>
    <t>Unificação Malha Single e Combo Multi</t>
  </si>
  <si>
    <t>Helder / Edinalva</t>
  </si>
  <si>
    <t>Processo de análise de fornecedores em Compras</t>
  </si>
  <si>
    <t>BID Transportes (2026)</t>
  </si>
  <si>
    <t>Processo em contratação de consultoria</t>
  </si>
  <si>
    <t>Reversa de Acessórios (controles e fontes)</t>
  </si>
  <si>
    <t>Demis / Evandro</t>
  </si>
  <si>
    <t>07/04 - Fechamento do racional (Qtde x Vlr)</t>
  </si>
  <si>
    <t>Backlog – LOG Controle Remoto (Ademilson)</t>
  </si>
  <si>
    <t>Ademilson / Rodrigo</t>
  </si>
  <si>
    <t>10/04 - BPLAN em criação. Saving compras 3,13</t>
  </si>
  <si>
    <t>07/04 - Ademilsom e Rodrigo montando racional</t>
  </si>
  <si>
    <t>Ciclo de Vida do Equipamento</t>
  </si>
  <si>
    <t>Operação Logística</t>
  </si>
  <si>
    <t>Wagner</t>
  </si>
  <si>
    <t>RAI de Estoques – Planos para Redução</t>
  </si>
  <si>
    <t>Parqueamento e Milk Run</t>
  </si>
  <si>
    <t>Execução</t>
  </si>
  <si>
    <t>Leandro / Lencione</t>
  </si>
  <si>
    <t>Calendarização, Roteirização e Capilaridade</t>
  </si>
  <si>
    <t>Leandro / Maiello</t>
  </si>
  <si>
    <t>Distribuição e Pedido Mínimo</t>
  </si>
  <si>
    <t>Leandro / Planejamento</t>
  </si>
  <si>
    <t>Redução de Consumo de Materiais</t>
  </si>
  <si>
    <t>Empresarial – Aumento da Logística Reversa</t>
  </si>
  <si>
    <t>Dino / Desconexão</t>
  </si>
  <si>
    <t>Estoque Empresarial – Uso de Sobressalente</t>
  </si>
  <si>
    <t>Gustavo / Eduardo</t>
  </si>
  <si>
    <t>Gestão de Risco</t>
  </si>
  <si>
    <t>Ingrid / Planejamento</t>
  </si>
  <si>
    <t>Reduzir a Utilização dos Correios</t>
  </si>
  <si>
    <t>BID de Transportes</t>
  </si>
  <si>
    <t>Unificação de Entregas Logísticas (Chip)</t>
  </si>
  <si>
    <t>Ampliação do eSIM</t>
  </si>
  <si>
    <t>Torre de Comando (Gestor de Alertas Beon)</t>
  </si>
  <si>
    <t>Marcelo / Ingrid</t>
  </si>
  <si>
    <t>Inventário Automatizado de Equipamentos</t>
  </si>
  <si>
    <t>Eduardo Cruz / Estoque</t>
  </si>
  <si>
    <t>Inversão da Esteira Logística (TSP x CD)</t>
  </si>
  <si>
    <t>Esteira da Reversa (operação, velocidade, qualidade)</t>
  </si>
  <si>
    <t>Dino / Guimarães</t>
  </si>
  <si>
    <t>Automatização e Robotização de CDs</t>
  </si>
  <si>
    <t>Paulo Quinete / CDs</t>
  </si>
  <si>
    <t>Ampliação da Ecobox</t>
  </si>
  <si>
    <t>Revisão da Malha Logística (Reforma Tributária)</t>
  </si>
  <si>
    <t>Marcelo / Matheus</t>
  </si>
  <si>
    <t>Controle de Estoque no Técnico</t>
  </si>
  <si>
    <t>Fabiana Pons / Eder Rocha</t>
  </si>
  <si>
    <t>FORECAST x Real – IBP</t>
  </si>
  <si>
    <t>Retorno de Acessórios / Partes e Peças</t>
  </si>
  <si>
    <t>Montagem de Kits no CD na Reversa</t>
  </si>
  <si>
    <t>Controle de Estoque PEP</t>
  </si>
  <si>
    <t>Mateus Barbeiro</t>
  </si>
  <si>
    <t>App Devolução de Lojas / AAs</t>
  </si>
  <si>
    <t>Torre de Controle Reversa e Direta</t>
  </si>
  <si>
    <t>Marcelo / Everton</t>
  </si>
  <si>
    <t>Broker e Controle de Materiais Inservíveis</t>
  </si>
  <si>
    <t>Gustavo Mendes</t>
  </si>
  <si>
    <t>Reyc Log – Estudo Claro Transportes</t>
  </si>
  <si>
    <t>Agentes de IA para Monitorar a Cadeia (Prospecção)</t>
  </si>
  <si>
    <t>Marcelo / Analytics</t>
  </si>
  <si>
    <t>Mineração de Dados – Bip / Desconexão / Inadimplente</t>
  </si>
  <si>
    <t>Frente com Andreia Campos para Desconexão</t>
  </si>
  <si>
    <t>Andreia Campos</t>
  </si>
  <si>
    <t>DUIMP – COMEX (Acompanhamento RFP) ❌</t>
  </si>
  <si>
    <t>Projeto SAP S/4 HANA ❌</t>
  </si>
  <si>
    <t>Inteligência Logística</t>
  </si>
  <si>
    <t>Marcelo / TI</t>
  </si>
  <si>
    <t>4PL Empresa de Valor (Sul)</t>
  </si>
  <si>
    <t>Operação Transporte</t>
  </si>
  <si>
    <t>Frete Mínimo (Deadline 24/05)</t>
  </si>
  <si>
    <t>Helder / Leandro</t>
  </si>
  <si>
    <t>WhatsApp Transportador</t>
  </si>
  <si>
    <t>Helder / Transporte</t>
  </si>
  <si>
    <t>BID SP</t>
  </si>
  <si>
    <t>Relatório ComboMulti (paliativo e definitivo)</t>
  </si>
  <si>
    <t>Checklist Jornada de Integração e Tracking de Transportadores</t>
  </si>
  <si>
    <t>Leandro / Transporte</t>
  </si>
  <si>
    <t>Jornada única E2E</t>
  </si>
  <si>
    <t>Maiello / Leandro</t>
  </si>
  <si>
    <t>Readequação da esteira de Claro BOX</t>
  </si>
  <si>
    <t>📊 RESUMO</t>
  </si>
  <si>
    <t>Total de Projetos:</t>
  </si>
  <si>
    <t>Σ Meta:</t>
  </si>
  <si>
    <t>🎯 PIPELINE DE MATURIDADE DOS PROJETOS (STAGE GATE)</t>
  </si>
  <si>
    <t>Metodologia de acompanhamento do ciclo de vida dos projetos</t>
  </si>
  <si>
    <t>Critérios de Entrada</t>
  </si>
  <si>
    <t>Projeto em fase inicial de ideação</t>
  </si>
  <si>
    <t>Necessidade identificada, sem business case</t>
  </si>
  <si>
    <t>Business case em construção</t>
  </si>
  <si>
    <t>Business case iniciado, viabilidade em estudo</t>
  </si>
  <si>
    <t>Projeto aprovado, planejamento em curso</t>
  </si>
  <si>
    <t>Aprovação formal, escopo definido</t>
  </si>
  <si>
    <t>Atividades em andamento</t>
  </si>
  <si>
    <t>Equipe alocada, cronograma aprovado</t>
  </si>
  <si>
    <t>Fase de deploy/go-live</t>
  </si>
  <si>
    <t>Desenvolvimento concluído, testes OK</t>
  </si>
  <si>
    <t>Projeto finalizado e entregue</t>
  </si>
  <si>
    <t>Todas entregas realizadas, aceite formal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</si>
</sst>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#,##0.00;\-#,##0.00"/>
  </numFmts>
  <fonts count="21">
    <font>
      <sz val="11"/>
      <color theme="1"/>
      <name val="Calibri"/>
      <family val="2"/>
      <scheme val="minor"/>
    </font>
    <font>
      <sz val="11"/>
      <color theme="1"/>
      <name val="Segoe UI"/>
      <charset val="1"/>
    </font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b/>
      <sz val="11"/>
      <color rgb="FFFFFFFF"/>
      <name val="Segoe UI"/>
      <family val="2"/>
    </font>
    <font>
      <b/>
      <sz val="12"/>
      <color rgb="FFD52B1E"/>
      <name val="Calibri"/>
      <family val="2"/>
      <scheme val="minor"/>
    </font>
    <font>
      <b/>
      <sz val="12"/>
      <color rgb="FFD52B1E"/>
      <name val="Arial"/>
      <family val="2"/>
    </font>
    <font>
      <b/>
      <sz val="10"/>
      <color rgb="FFD52B1E"/>
      <name val="Arial"/>
      <family val="2"/>
    </font>
    <font>
      <b/>
      <sz val="11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1"/>
      <color rgb="FFD52B1E"/>
      <name val="Calibri"/>
      <family val="2"/>
      <scheme val="minor"/>
    </font>
    <font>
      <b/>
      <sz val="10"/>
      <color rgb="FF333333"/>
      <name val="Segoe UI"/>
      <family val="2"/>
    </font>
    <font>
      <sz val="10"/>
      <color rgb="FF333333"/>
      <name val="Segoe UI"/>
      <family val="2"/>
    </font>
    <font>
      <b/>
      <sz val="18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D52B1E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52B1E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DE8E6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FFCCBC"/>
        <bgColor indexed="64"/>
      </patternFill>
    </fill>
    <fill>
      <patternFill patternType="solid">
        <fgColor rgb="FFA5D6A7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rgb="FFD52B1E"/>
      </top>
      <bottom style="medium">
        <color rgb="FFD52B1E"/>
      </bottom>
      <diagonal/>
    </border>
    <border>
      <left style="thin">
        <color rgb="FFADAFAF"/>
      </left>
      <right style="thin">
        <color rgb="FFADAFAF"/>
      </right>
      <top style="thin">
        <color rgb="FFADAFAF"/>
      </top>
      <bottom style="thin">
        <color rgb="FFADAFAF"/>
      </bottom>
      <diagonal/>
    </border>
    <border>
      <left style="thin">
        <color rgb="FFADAFAF"/>
      </left>
      <right/>
      <top style="thin">
        <color rgb="FFADAFAF"/>
      </top>
      <bottom style="thin">
        <color rgb="FFADAFAF"/>
      </bottom>
      <diagonal/>
    </border>
    <border>
      <left/>
      <right/>
      <top style="thin">
        <color rgb="FFADAFAF"/>
      </top>
      <bottom style="thin">
        <color rgb="FFADAFAF"/>
      </bottom>
      <diagonal/>
    </border>
    <border>
      <left/>
      <right style="medium">
        <color rgb="FFADAFAF"/>
      </right>
      <top style="thin">
        <color rgb="FFADAFAF"/>
      </top>
      <bottom style="thin">
        <color rgb="FFADAFAF"/>
      </bottom>
      <diagonal/>
    </border>
    <border>
      <left style="thin">
        <color rgb="FFADAFAF"/>
      </left>
      <right style="thin">
        <color rgb="FFADAFAF"/>
      </right>
      <top style="thin">
        <color rgb="FFADAFAF"/>
      </top>
      <bottom/>
      <diagonal/>
    </border>
    <border>
      <left/>
      <right style="thin">
        <color rgb="FFADAFAF"/>
      </right>
      <top style="thin">
        <color rgb="FFADAFAF"/>
      </top>
      <bottom style="thin">
        <color rgb="FFADAFAF"/>
      </bottom>
      <diagonal/>
    </border>
    <border>
      <left/>
      <right style="thin">
        <color rgb="FFADAFAF"/>
      </right>
      <top/>
      <bottom style="thin">
        <color rgb="FFADAFAF"/>
      </bottom>
      <diagonal/>
    </border>
    <border>
      <left style="thin">
        <color rgb="FFADAFAF"/>
      </left>
      <right style="thin">
        <color rgb="FFADAFAF"/>
      </right>
      <top/>
      <bottom style="thin">
        <color rgb="FFADAFAF"/>
      </bottom>
      <diagonal/>
    </border>
    <border>
      <left style="thin">
        <color rgb="FFADAFAF"/>
      </left>
      <right/>
      <top/>
      <bottom style="thin">
        <color rgb="FFADAFAF"/>
      </bottom>
      <diagonal/>
    </border>
    <border>
      <left/>
      <right style="thin">
        <color rgb="FFADAFAF"/>
      </right>
      <top style="thin">
        <color rgb="FFADAFAF"/>
      </top>
      <bottom/>
      <diagonal/>
    </border>
    <border>
      <left style="thin">
        <color rgb="FFADAFAF"/>
      </left>
      <right/>
      <top style="thin">
        <color rgb="FFADAFAF"/>
      </top>
      <bottom/>
      <diagonal/>
    </border>
    <border>
      <left style="thin">
        <color rgb="FFADAFAF"/>
      </left>
      <right style="thin">
        <color rgb="FFADAFAF"/>
      </right>
      <top style="thin">
        <color rgb="FFADAFAF"/>
      </top>
      <bottom style="thin">
        <color theme="4" tint="0.39997558519241921"/>
      </bottom>
      <diagonal/>
    </border>
    <border>
      <left style="thin">
        <color rgb="FFADAFAF"/>
      </left>
      <right style="thin">
        <color rgb="FFADAFAF"/>
      </right>
      <top style="thin">
        <color rgb="FFADAFAF"/>
      </top>
      <bottom style="medium">
        <color rgb="FFADAFAF"/>
      </bottom>
      <diagonal/>
    </border>
  </borders>
  <cellStyleXfs count="2">
    <xf numFmtId="0" fontId="0" fillId="0" borderId="0"/>
    <xf numFmtId="0" fontId="2" fillId="0" borderId="0"/>
  </cellStyleXfs>
  <cellXfs count="12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4" fillId="7" borderId="0" xfId="0" applyFont="1" applyFill="1"/>
    <xf numFmtId="0" fontId="4" fillId="10" borderId="0" xfId="0" applyFont="1" applyFill="1"/>
    <xf numFmtId="0" fontId="4" fillId="11" borderId="0" xfId="0" applyFont="1" applyFill="1"/>
    <xf numFmtId="0" fontId="4" fillId="12" borderId="0" xfId="0" applyFont="1" applyFill="1"/>
    <xf numFmtId="0" fontId="10" fillId="5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4" fillId="7" borderId="0" xfId="0" applyFont="1" applyFill="1" applyAlignment="1">
      <alignment horizontal="center"/>
    </xf>
    <xf numFmtId="0" fontId="0" fillId="12" borderId="0" xfId="0" applyFill="1"/>
    <xf numFmtId="0" fontId="0" fillId="11" borderId="0" xfId="0" applyFill="1"/>
    <xf numFmtId="0" fontId="0" fillId="10" borderId="0" xfId="0" applyFill="1"/>
    <xf numFmtId="0" fontId="0" fillId="7" borderId="0" xfId="0" applyFill="1"/>
    <xf numFmtId="0" fontId="0" fillId="12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0" fillId="4" borderId="0" xfId="0" applyFont="1" applyFill="1"/>
    <xf numFmtId="0" fontId="4" fillId="13" borderId="0" xfId="0" applyFont="1" applyFill="1"/>
    <xf numFmtId="9" fontId="16" fillId="0" borderId="0" xfId="0" applyNumberFormat="1" applyFont="1"/>
    <xf numFmtId="0" fontId="10" fillId="6" borderId="0" xfId="0" applyFont="1" applyFill="1" applyAlignment="1">
      <alignment horizontal="center"/>
    </xf>
    <xf numFmtId="0" fontId="0" fillId="9" borderId="0" xfId="0" applyFill="1"/>
    <xf numFmtId="0" fontId="0" fillId="17" borderId="0" xfId="0" applyFill="1"/>
    <xf numFmtId="0" fontId="0" fillId="16" borderId="0" xfId="0" applyFill="1"/>
    <xf numFmtId="0" fontId="0" fillId="15" borderId="0" xfId="0" applyFill="1"/>
    <xf numFmtId="0" fontId="0" fillId="18" borderId="0" xfId="0" applyFill="1"/>
    <xf numFmtId="0" fontId="0" fillId="19" borderId="0" xfId="0" applyFill="1"/>
    <xf numFmtId="0" fontId="0" fillId="9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17" borderId="0" xfId="0" applyFont="1" applyFill="1" applyAlignment="1">
      <alignment horizontal="center"/>
    </xf>
    <xf numFmtId="0" fontId="4" fillId="16" borderId="0" xfId="0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4" fillId="18" borderId="0" xfId="0" applyFont="1" applyFill="1" applyAlignment="1">
      <alignment horizontal="center"/>
    </xf>
    <xf numFmtId="0" fontId="4" fillId="19" borderId="0" xfId="0" applyFont="1" applyFill="1" applyAlignment="1">
      <alignment horizontal="center"/>
    </xf>
    <xf numFmtId="0" fontId="12" fillId="7" borderId="0" xfId="0" applyFont="1" applyFill="1"/>
    <xf numFmtId="9" fontId="0" fillId="9" borderId="0" xfId="0" applyNumberFormat="1" applyFill="1" applyAlignment="1">
      <alignment horizontal="center"/>
    </xf>
    <xf numFmtId="9" fontId="0" fillId="17" borderId="0" xfId="0" applyNumberFormat="1" applyFill="1" applyAlignment="1">
      <alignment horizontal="center"/>
    </xf>
    <xf numFmtId="9" fontId="0" fillId="16" borderId="0" xfId="0" applyNumberFormat="1" applyFill="1" applyAlignment="1">
      <alignment horizontal="center"/>
    </xf>
    <xf numFmtId="9" fontId="0" fillId="15" borderId="0" xfId="0" applyNumberFormat="1" applyFill="1" applyAlignment="1">
      <alignment horizontal="center"/>
    </xf>
    <xf numFmtId="9" fontId="0" fillId="18" borderId="0" xfId="0" applyNumberFormat="1" applyFill="1" applyAlignment="1">
      <alignment horizontal="center"/>
    </xf>
    <xf numFmtId="9" fontId="0" fillId="19" borderId="0" xfId="0" applyNumberForma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14" fontId="14" fillId="4" borderId="2" xfId="0" applyNumberFormat="1" applyFont="1" applyFill="1" applyBorder="1" applyAlignment="1">
      <alignment horizontal="center" vertical="center"/>
    </xf>
    <xf numFmtId="2" fontId="14" fillId="4" borderId="2" xfId="0" applyNumberFormat="1" applyFont="1" applyFill="1" applyBorder="1" applyAlignment="1">
      <alignment horizontal="center" vertical="center"/>
    </xf>
    <xf numFmtId="2" fontId="13" fillId="4" borderId="2" xfId="0" applyNumberFormat="1" applyFont="1" applyFill="1" applyBorder="1" applyAlignment="1">
      <alignment horizontal="center" vertical="center"/>
    </xf>
    <xf numFmtId="2" fontId="13" fillId="7" borderId="2" xfId="0" applyNumberFormat="1" applyFont="1" applyFill="1" applyBorder="1" applyAlignment="1">
      <alignment horizontal="center" vertical="center"/>
    </xf>
    <xf numFmtId="2" fontId="14" fillId="4" borderId="2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/>
    </xf>
    <xf numFmtId="14" fontId="14" fillId="7" borderId="2" xfId="0" applyNumberFormat="1" applyFont="1" applyFill="1" applyBorder="1" applyAlignment="1">
      <alignment horizontal="center" vertical="center"/>
    </xf>
    <xf numFmtId="2" fontId="14" fillId="7" borderId="2" xfId="0" applyNumberFormat="1" applyFont="1" applyFill="1" applyBorder="1" applyAlignment="1">
      <alignment horizontal="center" vertical="center"/>
    </xf>
    <xf numFmtId="2" fontId="14" fillId="7" borderId="2" xfId="0" applyNumberFormat="1" applyFont="1" applyFill="1" applyBorder="1" applyAlignment="1">
      <alignment horizontal="center" vertical="center" wrapText="1"/>
    </xf>
    <xf numFmtId="4" fontId="13" fillId="4" borderId="2" xfId="1" applyNumberFormat="1" applyFont="1" applyFill="1" applyBorder="1" applyAlignment="1">
      <alignment horizontal="center" vertical="center" wrapText="1"/>
    </xf>
    <xf numFmtId="40" fontId="13" fillId="4" borderId="2" xfId="1" applyNumberFormat="1" applyFont="1" applyFill="1" applyBorder="1" applyAlignment="1">
      <alignment horizontal="center" vertical="center" wrapText="1"/>
    </xf>
    <xf numFmtId="40" fontId="13" fillId="7" borderId="2" xfId="1" applyNumberFormat="1" applyFont="1" applyFill="1" applyBorder="1" applyAlignment="1">
      <alignment horizontal="center" vertical="center" wrapText="1"/>
    </xf>
    <xf numFmtId="0" fontId="13" fillId="7" borderId="2" xfId="1" applyFont="1" applyFill="1" applyBorder="1" applyAlignment="1">
      <alignment horizontal="center" vertical="center" wrapText="1"/>
    </xf>
    <xf numFmtId="4" fontId="13" fillId="7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0" fillId="17" borderId="0" xfId="0" applyFill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0" fillId="18" borderId="0" xfId="0" applyFill="1" applyAlignment="1">
      <alignment horizontal="center" vertical="center" wrapText="1"/>
    </xf>
    <xf numFmtId="0" fontId="0" fillId="19" borderId="0" xfId="0" applyFill="1" applyAlignment="1">
      <alignment horizontal="center" vertical="center" wrapText="1"/>
    </xf>
    <xf numFmtId="2" fontId="14" fillId="7" borderId="6" xfId="0" applyNumberFormat="1" applyFont="1" applyFill="1" applyBorder="1" applyAlignment="1">
      <alignment horizontal="center" vertical="center"/>
    </xf>
    <xf numFmtId="2" fontId="14" fillId="4" borderId="6" xfId="0" applyNumberFormat="1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4" borderId="3" xfId="1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14" fontId="14" fillId="4" borderId="6" xfId="0" applyNumberFormat="1" applyFont="1" applyFill="1" applyBorder="1" applyAlignment="1">
      <alignment horizontal="center" vertical="center"/>
    </xf>
    <xf numFmtId="2" fontId="14" fillId="4" borderId="6" xfId="0" applyNumberFormat="1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164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14" fontId="14" fillId="4" borderId="13" xfId="0" applyNumberFormat="1" applyFont="1" applyFill="1" applyBorder="1" applyAlignment="1">
      <alignment horizontal="center" vertical="center"/>
    </xf>
    <xf numFmtId="14" fontId="14" fillId="4" borderId="14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/>
    </xf>
    <xf numFmtId="0" fontId="18" fillId="7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7" fillId="6" borderId="0" xfId="0" applyFont="1" applyFill="1" applyAlignment="1"/>
    <xf numFmtId="0" fontId="0" fillId="0" borderId="0" xfId="0" applyAlignment="1"/>
    <xf numFmtId="0" fontId="4" fillId="7" borderId="0" xfId="0" applyFont="1" applyFill="1" applyAlignment="1"/>
    <xf numFmtId="0" fontId="0" fillId="4" borderId="0" xfId="0" applyFill="1" applyAlignment="1"/>
    <xf numFmtId="0" fontId="7" fillId="14" borderId="0" xfId="0" applyFont="1" applyFill="1" applyAlignment="1"/>
    <xf numFmtId="0" fontId="17" fillId="12" borderId="0" xfId="0" applyFont="1" applyFill="1" applyAlignment="1"/>
  </cellXfs>
  <cellStyles count="2">
    <cellStyle name="Normal" xfId="0" builtinId="0"/>
    <cellStyle name="Normal 3 2" xfId="1" xr:uid="{80BEEBBE-5A28-4E94-A452-D033FD68CA01}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DAFAF"/>
        </left>
        <right/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numFmt numFmtId="2" formatCode="0.00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DAFAF"/>
        </left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Segoe U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ADAFAF"/>
        </right>
        <top style="thin">
          <color rgb="FFADAFAF"/>
        </top>
        <bottom style="thin">
          <color rgb="FFADAFAF"/>
        </bottom>
        <vertical/>
        <horizontal/>
      </border>
    </dxf>
    <dxf>
      <border outline="0">
        <top style="thin">
          <color rgb="FFADAFAF"/>
        </top>
      </border>
    </dxf>
    <dxf>
      <border outline="0">
        <bottom style="thin">
          <color rgb="FFADAFAF"/>
        </bottom>
      </border>
    </dxf>
    <dxf>
      <border outline="0">
        <left style="thin">
          <color rgb="FFADAFAF"/>
        </left>
        <right style="medium">
          <color rgb="FFADAFAF"/>
        </right>
        <top style="thin">
          <color rgb="FFADAFAF"/>
        </top>
        <bottom style="medium">
          <color rgb="FFADAFA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family val="2"/>
        <scheme val="none"/>
      </font>
      <fill>
        <patternFill patternType="solid">
          <fgColor indexed="64"/>
          <bgColor rgb="FF33333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DAFAF"/>
        </left>
        <right style="thin">
          <color rgb="FFADAFAF"/>
        </right>
        <top/>
        <bottom/>
      </border>
    </dxf>
    <dxf>
      <font>
        <b/>
        <i val="0"/>
        <color rgb="FF2E7D32"/>
      </font>
      <fill>
        <patternFill patternType="solid">
          <fgColor indexed="64"/>
          <bgColor rgb="FFC8E6C9"/>
        </patternFill>
      </fill>
    </dxf>
    <dxf>
      <font>
        <b/>
        <i val="0"/>
        <color rgb="FFF57C00"/>
      </font>
      <fill>
        <patternFill patternType="solid">
          <fgColor indexed="64"/>
          <bgColor rgb="FFFFF9C4"/>
        </patternFill>
      </fill>
    </dxf>
    <dxf>
      <font>
        <b/>
        <i val="0"/>
        <color rgb="FFC62828"/>
      </font>
      <fill>
        <patternFill patternType="solid">
          <fgColor indexed="64"/>
          <bgColor rgb="FFFFCDD2"/>
        </patternFill>
      </fill>
    </dxf>
    <dxf>
      <font>
        <color rgb="FF155724"/>
      </font>
      <fill>
        <patternFill patternType="solid">
          <fgColor indexed="64"/>
          <bgColor rgb="FFD4EDDA"/>
        </patternFill>
      </fill>
    </dxf>
    <dxf>
      <font>
        <color rgb="FF856404"/>
      </font>
      <fill>
        <patternFill patternType="solid">
          <fgColor indexed="64"/>
          <bgColor rgb="FFFFF3CD"/>
        </patternFill>
      </fill>
    </dxf>
    <dxf>
      <font>
        <b/>
        <i val="0"/>
        <color rgb="FFD52B1E"/>
      </font>
      <fill>
        <patternFill patternType="solid">
          <fgColor indexed="64"/>
          <bgColor rgb="FFFDCFCC"/>
        </patternFill>
      </fill>
    </dxf>
    <dxf>
      <font>
        <b/>
        <i val="0"/>
        <color rgb="FFD52B1E"/>
      </font>
      <fill>
        <patternFill patternType="solid">
          <fgColor indexed="64"/>
          <bgColor rgb="FFFDCFCC"/>
        </patternFill>
      </fill>
    </dxf>
    <dxf>
      <font>
        <color rgb="FF856404"/>
      </font>
      <fill>
        <patternFill patternType="solid">
          <fgColor indexed="64"/>
          <bgColor rgb="FFFFF3CD"/>
        </patternFill>
      </fill>
    </dxf>
    <dxf>
      <font>
        <color rgb="FF155724"/>
      </font>
      <fill>
        <patternFill patternType="solid">
          <fgColor indexed="64"/>
          <bgColor rgb="FFD4EDDA"/>
        </patternFill>
      </fill>
    </dxf>
    <dxf>
      <font>
        <b/>
        <i val="0"/>
        <color rgb="FF155724"/>
      </font>
      <fill>
        <patternFill patternType="solid">
          <fgColor indexed="64"/>
          <bgColor rgb="FFD4EDDA"/>
        </patternFill>
      </fill>
    </dxf>
    <dxf>
      <font>
        <b/>
        <i val="0"/>
        <color rgb="FFD52B1E"/>
      </font>
      <fill>
        <patternFill patternType="solid">
          <fgColor indexed="64"/>
          <bgColor rgb="FFFDCFCC"/>
        </patternFill>
      </fill>
    </dxf>
    <dxf>
      <font>
        <b/>
        <i val="0"/>
        <color rgb="FF8B4513"/>
      </font>
      <fill>
        <patternFill patternType="solid">
          <fgColor indexed="64"/>
          <bgColor rgb="FFFFE4B5"/>
        </patternFill>
      </fill>
    </dxf>
    <dxf>
      <font>
        <b/>
        <i val="0"/>
        <color rgb="FF856404"/>
      </font>
      <fill>
        <patternFill patternType="solid">
          <fgColor indexed="64"/>
          <bgColor rgb="FFFFF3CD"/>
        </patternFill>
      </fill>
    </dxf>
    <dxf>
      <font>
        <b/>
        <i val="0"/>
        <color rgb="FF333333"/>
      </font>
      <fill>
        <patternFill patternType="solid">
          <fgColor indexed="64"/>
          <bgColor rgb="FFF5F5F5"/>
        </patternFill>
      </fill>
    </dxf>
    <dxf>
      <font>
        <b/>
        <i val="0"/>
        <color rgb="FF666666"/>
      </font>
      <fill>
        <patternFill patternType="solid">
          <fgColor indexed="64"/>
          <bgColor rgb="FFE0E0E0"/>
        </patternFill>
      </fill>
    </dxf>
    <dxf>
      <font>
        <b/>
        <i val="0"/>
        <color rgb="FFD52B1E"/>
      </font>
      <fill>
        <patternFill patternType="solid">
          <fgColor indexed="64"/>
          <bgColor rgb="FFFDE8E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por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D52B1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DASHBOARD!$A$8:$B$13</c:f>
              <c:multiLvlStrCache>
                <c:ptCount val="6"/>
                <c:lvl>
                  <c:pt idx="0">
                    <c:v>Ideia / Conceito</c:v>
                  </c:pt>
                  <c:pt idx="1">
                    <c:v>Em Análise / Estudo</c:v>
                  </c:pt>
                  <c:pt idx="2">
                    <c:v>Planejamento</c:v>
                  </c:pt>
                  <c:pt idx="3">
                    <c:v>Em Execução</c:v>
                  </c:pt>
                  <c:pt idx="4">
                    <c:v>Implantação</c:v>
                  </c:pt>
                  <c:pt idx="5">
                    <c:v>Concluído</c:v>
                  </c:pt>
                </c:lvl>
                <c:lvl>
                  <c:pt idx="0">
                    <c:v>L0</c:v>
                  </c:pt>
                  <c:pt idx="1">
                    <c:v>L1</c:v>
                  </c:pt>
                  <c:pt idx="2">
                    <c:v>L2</c:v>
                  </c:pt>
                  <c:pt idx="3">
                    <c:v>L3</c:v>
                  </c:pt>
                  <c:pt idx="4">
                    <c:v>L4</c:v>
                  </c:pt>
                  <c:pt idx="5">
                    <c:v>L5</c:v>
                  </c:pt>
                </c:lvl>
              </c:multiLvlStrCache>
            </c:multiLvlStrRef>
          </c:cat>
          <c:val>
            <c:numRef>
              <c:f>DASHBOARD!$C$8:$C$13</c:f>
              <c:numCache>
                <c:formatCode>General</c:formatCode>
                <c:ptCount val="6"/>
                <c:pt idx="0">
                  <c:v>10</c:v>
                </c:pt>
                <c:pt idx="1">
                  <c:v>29</c:v>
                </c:pt>
                <c:pt idx="2">
                  <c:v>9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B-44B2-9DB5-7CF2FB855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9105296"/>
        <c:axId val="1079106256"/>
      </c:barChart>
      <c:catAx>
        <c:axId val="107910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9106256"/>
        <c:crosses val="autoZero"/>
        <c:auto val="1"/>
        <c:lblAlgn val="ctr"/>
        <c:lblOffset val="100"/>
        <c:noMultiLvlLbl val="0"/>
      </c:catAx>
      <c:valAx>
        <c:axId val="107910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910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por Prioridade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3333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DASHBOARD!$E$8:$F$10</c:f>
              <c:multiLvlStrCache>
                <c:ptCount val="3"/>
                <c:lvl>
                  <c:pt idx="0">
                    <c:v>🔴</c:v>
                  </c:pt>
                  <c:pt idx="1">
                    <c:v>🟡</c:v>
                  </c:pt>
                  <c:pt idx="2">
                    <c:v>🟢</c:v>
                  </c:pt>
                </c:lvl>
                <c:lvl>
                  <c:pt idx="0">
                    <c:v>Alta</c:v>
                  </c:pt>
                  <c:pt idx="1">
                    <c:v>Média</c:v>
                  </c:pt>
                  <c:pt idx="2">
                    <c:v>Baixa</c:v>
                  </c:pt>
                </c:lvl>
              </c:multiLvlStrCache>
            </c:multiLvlStrRef>
          </c:cat>
          <c:val>
            <c:numRef>
              <c:f>DASHBOARD!$G$8:$G$10</c:f>
              <c:numCache>
                <c:formatCode>General</c:formatCode>
                <c:ptCount val="3"/>
                <c:pt idx="0">
                  <c:v>19</c:v>
                </c:pt>
                <c:pt idx="1">
                  <c:v>22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5-4253-936C-14C6EDCEC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3009920"/>
        <c:axId val="1242998880"/>
      </c:barChart>
      <c:catAx>
        <c:axId val="1243009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2998880"/>
        <c:crosses val="autoZero"/>
        <c:auto val="1"/>
        <c:lblAlgn val="ctr"/>
        <c:lblOffset val="100"/>
        <c:noMultiLvlLbl val="0"/>
      </c:catAx>
      <c:valAx>
        <c:axId val="124299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300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4</xdr:col>
      <xdr:colOff>0</xdr:colOff>
      <xdr:row>42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44046E-60E8-EE5F-ABFF-E1E447EF6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721378-7CB2-7C71-BEEF-538FB929E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20A46B-3641-4B4D-B35B-2B13CA62004D}" name="TabelaPortfolio" displayName="TabelaPortfolio" ref="A2:S56" totalsRowShown="0" headerRowDxfId="22" headerRowBorderDxfId="20" tableBorderDxfId="21" totalsRowBorderDxfId="19">
  <autoFilter ref="A2:S56" xr:uid="{7A20A46B-3641-4B4D-B35B-2B13CA62004D}"/>
  <tableColumns count="19">
    <tableColumn id="1" xr3:uid="{74AEDD82-03E0-4100-9816-C1E9523DEC40}" name="ID" dataDxfId="18">
      <calculatedColumnFormula>IF(TabelaPortfolio[[#This Row],[Projeto]]&lt;&gt;"","LOG-"&amp;TEXT(ROW()-2,"00"),"")</calculatedColumnFormula>
    </tableColumn>
    <tableColumn id="2" xr3:uid="{6670401D-78EF-4873-86DE-17059F0D7372}" name="Projeto" dataDxfId="17"/>
    <tableColumn id="3" xr3:uid="{91B4FC42-A1E8-4403-863B-99947C6F6CD7}" name="Forum" dataDxfId="16"/>
    <tableColumn id="4" xr3:uid="{1B9FFC80-B523-489C-8380-0FD4E94C0621}" name="Gerencia" dataDxfId="15"/>
    <tableColumn id="5" xr3:uid="{D75930B2-11AA-4B9F-9959-1470BF8AAB16}" name="Tipo" dataDxfId="14"/>
    <tableColumn id="6" xr3:uid="{4800F558-3AD2-418C-B5BE-5861A2F65F7B}" name="Responsabilidade" dataDxfId="13"/>
    <tableColumn id="7" xr3:uid="{7CE9A8B0-0609-4599-BAD1-64506DB17E28}" name="PMO Responsável" dataDxfId="12"/>
    <tableColumn id="8" xr3:uid="{2B8AA5EF-9478-4987-B2B1-C8183650A1BE}" name="Nome Responsável" dataDxfId="11"/>
    <tableColumn id="9" xr3:uid="{85AE6CFC-82E8-4D65-BB9B-F67A5EF27ED8}" name="Stage" dataDxfId="10"/>
    <tableColumn id="10" xr3:uid="{09E7A0F4-CC73-4C28-8267-8CC7887D13AF}" name="Status" dataDxfId="9"/>
    <tableColumn id="11" xr3:uid="{124297DC-A7F5-466F-8356-B6C61659C1DB}" name="Prioridade" dataDxfId="8"/>
    <tableColumn id="12" xr3:uid="{B5446FD3-677A-4D12-8CE0-27495EFF09AE}" name="Início" dataDxfId="7"/>
    <tableColumn id="13" xr3:uid="{70B33446-6BA3-4E3C-BFA7-29DB30787106}" name="Fim Planejado" dataDxfId="6"/>
    <tableColumn id="14" xr3:uid="{1315ACA8-3694-4A9B-8757-F3DAE7E506CD}" name="Meta_x000a_2026" dataDxfId="5"/>
    <tableColumn id="15" xr3:uid="{299EF977-0669-430D-A8A8-1FF86B5F1042}" name="Realizado+ FCST_x000a_2026" dataDxfId="4"/>
    <tableColumn id="16" xr3:uid="{A8B23D8C-71B8-4C54-B0F5-5392AED922B1}" name="Saldo" dataDxfId="3"/>
    <tableColumn id="17" xr3:uid="{7896E3CF-BBDE-4585-BB3E-6DC1F47C097C}" name="Indicador Prazo" dataDxfId="2">
      <calculatedColumnFormula>IF(M3="","",IF(M3&lt;TODAY(),"⚠️ ATRASADO",IF(M3-TODAY()&lt;30,"⏰ PRÓXIMO","✅ OK")))</calculatedColumnFormula>
    </tableColumn>
    <tableColumn id="18" xr3:uid="{EB70C495-1562-499C-9A85-069E63B5FB6B}" name="AÇÕES" dataDxfId="1"/>
    <tableColumn id="19" xr3:uid="{2B46760A-10B4-4A08-8EA9-764D0213D3C2}" name="Observaçõ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E7014-37AD-4805-9D2B-F7654495E431}">
  <sheetPr codeName="Planilha1"/>
  <dimension ref="A1:H53"/>
  <sheetViews>
    <sheetView showGridLines="0" workbookViewId="0">
      <selection sqref="A1:H1"/>
    </sheetView>
  </sheetViews>
  <sheetFormatPr defaultRowHeight="14.45"/>
  <cols>
    <col min="1" max="2" width="9.28515625" customWidth="1"/>
    <col min="3" max="3" width="22.28515625" customWidth="1"/>
    <col min="4" max="5" width="9.28515625" customWidth="1"/>
    <col min="6" max="6" width="64.7109375" customWidth="1"/>
    <col min="7" max="8" width="13" customWidth="1"/>
  </cols>
  <sheetData>
    <row r="1" spans="1:8" ht="49.9" customHeight="1">
      <c r="A1" s="113" t="s">
        <v>0</v>
      </c>
      <c r="B1" s="114"/>
      <c r="C1" s="114"/>
      <c r="D1" s="114"/>
      <c r="E1" s="114"/>
      <c r="F1" s="114"/>
      <c r="G1" s="114"/>
      <c r="H1" s="114"/>
    </row>
    <row r="2" spans="1:8" ht="25.15" customHeight="1">
      <c r="A2" s="115" t="str">
        <f ca="1">"Atualizado em: "&amp;TEXT(TODAY(),"DD/MM/YYYY")</f>
        <v>Atualizado em: 14/05/YYYY</v>
      </c>
      <c r="B2" s="115"/>
      <c r="C2" s="115"/>
      <c r="D2" s="115"/>
      <c r="E2" s="115"/>
      <c r="F2" s="115"/>
      <c r="G2" s="115"/>
      <c r="H2" s="115"/>
    </row>
    <row r="4" spans="1:8" ht="34.9" customHeight="1">
      <c r="A4" s="45" t="s">
        <v>1</v>
      </c>
      <c r="B4" s="101">
        <f>COUNTA(PORTFOLIO_LOGISTICA!A3:A56)</f>
        <v>54</v>
      </c>
      <c r="C4" s="8" t="s">
        <v>2</v>
      </c>
      <c r="D4" s="101">
        <f>COUNTIF(PORTFOLIO_LOGISTICA!J3:J56,"*Em Dia*")</f>
        <v>32</v>
      </c>
      <c r="E4" s="9" t="s">
        <v>3</v>
      </c>
      <c r="F4" s="101">
        <f>COUNTIF(PORTFOLIO_LOGISTICA!J3:J56,"*Atenção*")</f>
        <v>8</v>
      </c>
      <c r="G4" s="10" t="s">
        <v>4</v>
      </c>
      <c r="H4" s="101">
        <f>COUNTIF(PORTFOLIO_LOGISTICA!J3:J56,"*Crítico*")</f>
        <v>2</v>
      </c>
    </row>
    <row r="6" spans="1:8" ht="15.6">
      <c r="A6" s="118" t="s">
        <v>5</v>
      </c>
      <c r="B6" s="119"/>
      <c r="C6" s="119"/>
      <c r="E6" s="118" t="s">
        <v>6</v>
      </c>
      <c r="F6" s="119"/>
      <c r="G6" s="119"/>
    </row>
    <row r="7" spans="1:8">
      <c r="A7" s="11" t="s">
        <v>7</v>
      </c>
      <c r="B7" s="11" t="s">
        <v>8</v>
      </c>
      <c r="C7" s="11" t="s">
        <v>9</v>
      </c>
      <c r="E7" s="11" t="s">
        <v>10</v>
      </c>
      <c r="F7" s="11" t="s">
        <v>11</v>
      </c>
      <c r="G7" s="11" t="s">
        <v>9</v>
      </c>
    </row>
    <row r="8" spans="1:8">
      <c r="A8" s="12" t="s">
        <v>12</v>
      </c>
      <c r="B8" s="12" t="s">
        <v>13</v>
      </c>
      <c r="C8" s="13">
        <f>COUNTIF(PORTFOLIO_LOGISTICA!I3:I56,"L0")</f>
        <v>10</v>
      </c>
      <c r="E8" s="15" t="s">
        <v>14</v>
      </c>
      <c r="F8" s="19" t="s">
        <v>15</v>
      </c>
      <c r="G8" s="19">
        <f>COUNTIF(PORTFOLIO_LOGISTICA!K3:K56,"Alta")</f>
        <v>19</v>
      </c>
    </row>
    <row r="9" spans="1:8">
      <c r="A9" s="12" t="s">
        <v>16</v>
      </c>
      <c r="B9" s="12" t="s">
        <v>17</v>
      </c>
      <c r="C9" s="13">
        <f>COUNTIF(PORTFOLIO_LOGISTICA!I3:I56,"L1")</f>
        <v>29</v>
      </c>
      <c r="E9" s="16" t="s">
        <v>18</v>
      </c>
      <c r="F9" s="20" t="s">
        <v>19</v>
      </c>
      <c r="G9" s="20">
        <f>COUNTIF(PORTFOLIO_LOGISTICA!K3:K56,"Média")</f>
        <v>22</v>
      </c>
    </row>
    <row r="10" spans="1:8">
      <c r="A10" s="12" t="s">
        <v>20</v>
      </c>
      <c r="B10" s="12" t="s">
        <v>21</v>
      </c>
      <c r="C10" s="13">
        <f>COUNTIF(PORTFOLIO_LOGISTICA!I3:I56,"L2")</f>
        <v>9</v>
      </c>
      <c r="E10" s="17" t="s">
        <v>22</v>
      </c>
      <c r="F10" s="21" t="s">
        <v>23</v>
      </c>
      <c r="G10" s="21">
        <f>COUNTIF(PORTFOLIO_LOGISTICA!K3:K56,"Baixa")</f>
        <v>1</v>
      </c>
    </row>
    <row r="11" spans="1:8">
      <c r="A11" s="12" t="s">
        <v>24</v>
      </c>
      <c r="B11" s="12" t="s">
        <v>25</v>
      </c>
      <c r="C11" s="13">
        <f>COUNTIF(PORTFOLIO_LOGISTICA!I3:I56,"L3")</f>
        <v>5</v>
      </c>
      <c r="E11" s="18" t="s">
        <v>26</v>
      </c>
      <c r="F11" s="22" t="s">
        <v>27</v>
      </c>
      <c r="G11" s="22">
        <f>COUNTIF(PORTFOLIO_LOGISTICA!K3:K56,"")</f>
        <v>12</v>
      </c>
    </row>
    <row r="12" spans="1:8">
      <c r="A12" s="12" t="s">
        <v>28</v>
      </c>
      <c r="B12" s="12" t="s">
        <v>29</v>
      </c>
      <c r="C12" s="13">
        <f>COUNTIF(PORTFOLIO_LOGISTICA!I3:I56,"L4")</f>
        <v>0</v>
      </c>
    </row>
    <row r="13" spans="1:8" ht="15.6">
      <c r="A13" s="12" t="s">
        <v>30</v>
      </c>
      <c r="B13" s="12" t="s">
        <v>31</v>
      </c>
      <c r="C13" s="13">
        <f>COUNTIF(PORTFOLIO_LOGISTICA!I3:I56,"L5")</f>
        <v>0</v>
      </c>
      <c r="E13" s="118" t="s">
        <v>32</v>
      </c>
      <c r="F13" s="119"/>
      <c r="G13" s="119"/>
    </row>
    <row r="14" spans="1:8">
      <c r="A14" s="120" t="s">
        <v>33</v>
      </c>
      <c r="B14" s="119"/>
      <c r="C14" s="14">
        <f>SUM(C8:C13)</f>
        <v>53</v>
      </c>
      <c r="E14" s="11" t="s">
        <v>34</v>
      </c>
      <c r="F14" s="11" t="s">
        <v>35</v>
      </c>
      <c r="G14" s="11" t="s">
        <v>9</v>
      </c>
    </row>
    <row r="15" spans="1:8">
      <c r="E15" s="12" t="s">
        <v>36</v>
      </c>
      <c r="F15" s="12" t="s">
        <v>37</v>
      </c>
      <c r="G15" s="13">
        <f>COUNTIF(PORTFOLIO_LOGISTICA!D3:D56,"*Transport*")</f>
        <v>17</v>
      </c>
    </row>
    <row r="16" spans="1:8" ht="15.6">
      <c r="A16" s="118" t="s">
        <v>38</v>
      </c>
      <c r="B16" s="121"/>
      <c r="C16" s="121"/>
      <c r="E16" s="18" t="s">
        <v>39</v>
      </c>
      <c r="F16" s="18" t="s">
        <v>40</v>
      </c>
      <c r="G16" s="22">
        <f>COUNTIF(PORTFOLIO_LOGISTICA!D3:D56,"*Desconexão*")</f>
        <v>12</v>
      </c>
    </row>
    <row r="17" spans="1:8">
      <c r="A17" s="11" t="s">
        <v>41</v>
      </c>
      <c r="B17" s="11" t="s">
        <v>42</v>
      </c>
      <c r="C17" s="11" t="s">
        <v>9</v>
      </c>
      <c r="E17" s="23" t="s">
        <v>43</v>
      </c>
      <c r="F17" s="23" t="s">
        <v>44</v>
      </c>
      <c r="G17" s="13">
        <f>COUNTIF(PORTFOLIO_LOGISTICA!D3:D56,"*Estoque*")</f>
        <v>10</v>
      </c>
    </row>
    <row r="18" spans="1:8">
      <c r="A18" s="15" t="s">
        <v>45</v>
      </c>
      <c r="B18" s="19" t="s">
        <v>46</v>
      </c>
      <c r="C18" s="19">
        <f ca="1">COUNTIF(PORTFOLIO_LOGISTICA!Q3:Q56,"*ATRASADO*")</f>
        <v>1</v>
      </c>
      <c r="E18" s="18" t="s">
        <v>21</v>
      </c>
      <c r="F18" s="18" t="s">
        <v>47</v>
      </c>
      <c r="G18" s="22">
        <f>COUNTIF(PORTFOLIO_LOGISTICA!D3:D56,"*Planejamento*")</f>
        <v>13</v>
      </c>
    </row>
    <row r="19" spans="1:8">
      <c r="A19" s="16" t="s">
        <v>48</v>
      </c>
      <c r="B19" s="20" t="s">
        <v>49</v>
      </c>
      <c r="C19" s="20">
        <f ca="1">COUNTIF(PORTFOLIO_LOGISTICA!Q3:Q56,"*PRÓXIMO*")</f>
        <v>0</v>
      </c>
    </row>
    <row r="20" spans="1:8">
      <c r="A20" s="17" t="s">
        <v>50</v>
      </c>
      <c r="B20" s="21" t="s">
        <v>51</v>
      </c>
      <c r="C20" s="21">
        <f ca="1">COUNTIF(PORTFOLIO_LOGISTICA!Q3:Q56,"*OK*")</f>
        <v>50</v>
      </c>
    </row>
    <row r="22" spans="1:8" ht="15.6">
      <c r="A22" s="118" t="s">
        <v>52</v>
      </c>
      <c r="B22" s="119"/>
      <c r="C22" s="119"/>
      <c r="D22" s="119"/>
      <c r="E22" s="119"/>
      <c r="F22" s="119"/>
      <c r="G22" s="119"/>
    </row>
    <row r="23" spans="1:8" ht="34.9" customHeight="1">
      <c r="A23" s="7" t="s">
        <v>53</v>
      </c>
      <c r="B23" s="100">
        <f>SUM(PORTFOLIO_LOGISTICA!N3:N56)</f>
        <v>26.903917956391901</v>
      </c>
      <c r="C23" s="8" t="s">
        <v>54</v>
      </c>
      <c r="D23" s="100">
        <f>SUM(PORTFOLIO_LOGISTICA!O3:O56)</f>
        <v>50.52147805250334</v>
      </c>
      <c r="E23" s="9" t="s">
        <v>55</v>
      </c>
      <c r="F23" s="99">
        <f>SUM(PORTFOLIO_LOGISTICA!P3:P56)</f>
        <v>0.31467546831143345</v>
      </c>
      <c r="G23" s="24" t="s">
        <v>56</v>
      </c>
      <c r="H23" s="25">
        <f>IF(B23=0,0,D23/B23)</f>
        <v>1.8778483540721742</v>
      </c>
    </row>
    <row r="25" spans="1:8" ht="15.6">
      <c r="A25" s="122" t="s">
        <v>57</v>
      </c>
      <c r="B25" s="119"/>
      <c r="C25" s="119"/>
      <c r="D25" s="119"/>
      <c r="E25" s="119"/>
      <c r="F25" s="119"/>
      <c r="G25" s="119"/>
      <c r="H25" s="119"/>
    </row>
    <row r="26" spans="1:8">
      <c r="A26" s="123" t="s">
        <v>58</v>
      </c>
      <c r="B26" s="119"/>
      <c r="C26" s="119"/>
      <c r="D26" s="119"/>
      <c r="E26" s="119"/>
      <c r="F26" s="119"/>
      <c r="G26" s="119"/>
      <c r="H26" s="119"/>
    </row>
    <row r="44" spans="1:8" ht="30" customHeight="1">
      <c r="A44" s="116" t="s">
        <v>59</v>
      </c>
      <c r="B44" s="116"/>
      <c r="C44" s="116"/>
      <c r="D44" s="116"/>
      <c r="E44" s="116"/>
      <c r="F44" s="116"/>
      <c r="G44" s="116"/>
      <c r="H44" s="116"/>
    </row>
    <row r="45" spans="1:8">
      <c r="A45" s="117" t="s">
        <v>60</v>
      </c>
      <c r="B45" s="117"/>
      <c r="C45" s="117"/>
      <c r="D45" s="117"/>
      <c r="E45" s="117"/>
      <c r="F45" s="117"/>
      <c r="G45" s="117"/>
      <c r="H45" s="117"/>
    </row>
    <row r="47" spans="1:8" ht="25.15" customHeight="1">
      <c r="A47" s="26" t="s">
        <v>7</v>
      </c>
      <c r="B47" s="26" t="s">
        <v>61</v>
      </c>
      <c r="C47" s="26" t="s">
        <v>62</v>
      </c>
      <c r="D47" s="26" t="s">
        <v>9</v>
      </c>
      <c r="E47" s="26" t="s">
        <v>63</v>
      </c>
      <c r="F47" s="26" t="s">
        <v>8</v>
      </c>
    </row>
    <row r="48" spans="1:8" ht="25.15" customHeight="1">
      <c r="A48" s="33" t="s">
        <v>12</v>
      </c>
      <c r="B48" s="33" t="s">
        <v>64</v>
      </c>
      <c r="C48" s="27" t="s">
        <v>13</v>
      </c>
      <c r="D48" s="39">
        <f>PORTFOLIO_LOGISTICA!F64</f>
        <v>10</v>
      </c>
      <c r="E48" s="46">
        <f t="shared" ref="E48:E53" si="0">D48/SUM($D$48:$D$53)</f>
        <v>0.18867924528301888</v>
      </c>
      <c r="F48" s="27" t="s">
        <v>65</v>
      </c>
    </row>
    <row r="49" spans="1:6" ht="25.15" customHeight="1">
      <c r="A49" s="34" t="s">
        <v>16</v>
      </c>
      <c r="B49" s="34" t="s">
        <v>66</v>
      </c>
      <c r="C49" s="28" t="s">
        <v>67</v>
      </c>
      <c r="D49" s="40">
        <f>PORTFOLIO_LOGISTICA!F65</f>
        <v>29</v>
      </c>
      <c r="E49" s="47">
        <f t="shared" si="0"/>
        <v>0.54716981132075471</v>
      </c>
      <c r="F49" s="28" t="s">
        <v>68</v>
      </c>
    </row>
    <row r="50" spans="1:6" ht="25.15" customHeight="1">
      <c r="A50" s="35" t="s">
        <v>20</v>
      </c>
      <c r="B50" s="35" t="s">
        <v>69</v>
      </c>
      <c r="C50" s="29" t="s">
        <v>21</v>
      </c>
      <c r="D50" s="41">
        <f>PORTFOLIO_LOGISTICA!F66</f>
        <v>9</v>
      </c>
      <c r="E50" s="48">
        <f t="shared" si="0"/>
        <v>0.16981132075471697</v>
      </c>
      <c r="F50" s="29" t="s">
        <v>70</v>
      </c>
    </row>
    <row r="51" spans="1:6" ht="25.15" customHeight="1">
      <c r="A51" s="36" t="s">
        <v>24</v>
      </c>
      <c r="B51" s="36" t="s">
        <v>71</v>
      </c>
      <c r="C51" s="30" t="s">
        <v>25</v>
      </c>
      <c r="D51" s="42">
        <f>PORTFOLIO_LOGISTICA!F67</f>
        <v>5</v>
      </c>
      <c r="E51" s="49">
        <f t="shared" si="0"/>
        <v>9.4339622641509441E-2</v>
      </c>
      <c r="F51" s="30" t="s">
        <v>72</v>
      </c>
    </row>
    <row r="52" spans="1:6" ht="25.15" customHeight="1">
      <c r="A52" s="37" t="s">
        <v>28</v>
      </c>
      <c r="B52" s="37" t="s">
        <v>73</v>
      </c>
      <c r="C52" s="31" t="s">
        <v>29</v>
      </c>
      <c r="D52" s="43">
        <f>PORTFOLIO_LOGISTICA!F68</f>
        <v>0</v>
      </c>
      <c r="E52" s="50">
        <f t="shared" si="0"/>
        <v>0</v>
      </c>
      <c r="F52" s="31" t="s">
        <v>74</v>
      </c>
    </row>
    <row r="53" spans="1:6" ht="25.15" customHeight="1">
      <c r="A53" s="38" t="s">
        <v>30</v>
      </c>
      <c r="B53" s="38" t="s">
        <v>51</v>
      </c>
      <c r="C53" s="32" t="s">
        <v>31</v>
      </c>
      <c r="D53" s="44">
        <f>PORTFOLIO_LOGISTICA!F69</f>
        <v>0</v>
      </c>
      <c r="E53" s="51">
        <f t="shared" si="0"/>
        <v>0</v>
      </c>
      <c r="F53" s="32" t="s">
        <v>75</v>
      </c>
    </row>
  </sheetData>
  <mergeCells count="12">
    <mergeCell ref="A22:G22"/>
    <mergeCell ref="A25:H25"/>
    <mergeCell ref="A26:H26"/>
    <mergeCell ref="A44:H44"/>
    <mergeCell ref="A45:H45"/>
    <mergeCell ref="A16:C16"/>
    <mergeCell ref="E13:G13"/>
    <mergeCell ref="A1:H1"/>
    <mergeCell ref="A2:H2"/>
    <mergeCell ref="A6:C6"/>
    <mergeCell ref="A14:B14"/>
    <mergeCell ref="E6:G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031AE-4E99-41CF-B277-032B1097A9A9}">
  <sheetPr codeName="Planilha2"/>
  <dimension ref="A1:E55"/>
  <sheetViews>
    <sheetView workbookViewId="0">
      <selection activeCell="E4" sqref="E4"/>
    </sheetView>
  </sheetViews>
  <sheetFormatPr defaultRowHeight="14.45"/>
  <cols>
    <col min="1" max="1" width="22.140625" customWidth="1"/>
    <col min="2" max="2" width="35.85546875" customWidth="1"/>
    <col min="3" max="3" width="27" customWidth="1"/>
    <col min="4" max="4" width="31.85546875" customWidth="1"/>
    <col min="5" max="5" width="48.85546875" customWidth="1"/>
  </cols>
  <sheetData>
    <row r="1" spans="1:5" ht="32.450000000000003" customHeight="1">
      <c r="A1" s="103" t="s">
        <v>76</v>
      </c>
      <c r="B1" s="103" t="s">
        <v>77</v>
      </c>
      <c r="C1" s="103" t="s">
        <v>78</v>
      </c>
      <c r="D1" s="103" t="s">
        <v>79</v>
      </c>
      <c r="E1" s="103" t="s">
        <v>80</v>
      </c>
    </row>
    <row r="2" spans="1:5" ht="15.95">
      <c r="A2" s="54" t="s">
        <v>81</v>
      </c>
      <c r="B2" s="54" t="s">
        <v>16</v>
      </c>
      <c r="C2" s="57">
        <v>46126</v>
      </c>
      <c r="D2" s="57">
        <v>46126</v>
      </c>
      <c r="E2" s="54">
        <f ca="1">IF(D2="",TODAY()-C2,D2-C2)</f>
        <v>0</v>
      </c>
    </row>
    <row r="3" spans="1:5" ht="15.95">
      <c r="A3" s="63" t="s">
        <v>81</v>
      </c>
      <c r="B3" s="63" t="s">
        <v>24</v>
      </c>
      <c r="C3" s="66">
        <v>46126</v>
      </c>
      <c r="D3" s="66"/>
      <c r="E3" s="54">
        <f t="shared" ref="E3:E55" ca="1" si="0">IF(D3="",TODAY()-C3,D3-C3)</f>
        <v>30</v>
      </c>
    </row>
    <row r="4" spans="1:5" ht="15.95">
      <c r="A4" s="54" t="s">
        <v>82</v>
      </c>
      <c r="B4" s="54" t="s">
        <v>20</v>
      </c>
      <c r="C4" s="57">
        <v>46126</v>
      </c>
      <c r="D4" s="57">
        <v>46126</v>
      </c>
      <c r="E4" s="54">
        <f t="shared" ca="1" si="0"/>
        <v>0</v>
      </c>
    </row>
    <row r="5" spans="1:5" ht="15.95">
      <c r="A5" s="63" t="s">
        <v>82</v>
      </c>
      <c r="B5" s="63" t="s">
        <v>24</v>
      </c>
      <c r="C5" s="66">
        <v>46126</v>
      </c>
      <c r="D5" s="66"/>
      <c r="E5" s="54">
        <f t="shared" ca="1" si="0"/>
        <v>30</v>
      </c>
    </row>
    <row r="6" spans="1:5" ht="15.95">
      <c r="A6" s="54"/>
      <c r="B6" s="54"/>
      <c r="C6" s="57"/>
      <c r="D6" s="57"/>
      <c r="E6" s="54">
        <f t="shared" ca="1" si="0"/>
        <v>46156</v>
      </c>
    </row>
    <row r="7" spans="1:5" ht="15.95">
      <c r="A7" s="63"/>
      <c r="B7" s="63"/>
      <c r="C7" s="66"/>
      <c r="D7" s="66"/>
      <c r="E7" s="54">
        <f t="shared" ca="1" si="0"/>
        <v>46156</v>
      </c>
    </row>
    <row r="8" spans="1:5" ht="15.95">
      <c r="A8" s="54"/>
      <c r="B8" s="54"/>
      <c r="C8" s="57"/>
      <c r="D8" s="57"/>
      <c r="E8" s="54">
        <f t="shared" ca="1" si="0"/>
        <v>46156</v>
      </c>
    </row>
    <row r="9" spans="1:5" ht="15.95">
      <c r="A9" s="63"/>
      <c r="B9" s="63"/>
      <c r="C9" s="66"/>
      <c r="D9" s="66"/>
      <c r="E9" s="54">
        <f t="shared" ca="1" si="0"/>
        <v>46156</v>
      </c>
    </row>
    <row r="10" spans="1:5" ht="15.95">
      <c r="A10" s="54"/>
      <c r="B10" s="54"/>
      <c r="C10" s="57"/>
      <c r="D10" s="57"/>
      <c r="E10" s="54">
        <f t="shared" ca="1" si="0"/>
        <v>46156</v>
      </c>
    </row>
    <row r="11" spans="1:5" ht="15.95">
      <c r="A11" s="63"/>
      <c r="B11" s="63"/>
      <c r="C11" s="66"/>
      <c r="D11" s="66"/>
      <c r="E11" s="54">
        <f t="shared" ca="1" si="0"/>
        <v>46156</v>
      </c>
    </row>
    <row r="12" spans="1:5" ht="15.95">
      <c r="A12" s="54"/>
      <c r="B12" s="54"/>
      <c r="C12" s="57"/>
      <c r="D12" s="57"/>
      <c r="E12" s="54">
        <f t="shared" ca="1" si="0"/>
        <v>46156</v>
      </c>
    </row>
    <row r="13" spans="1:5" ht="15.95">
      <c r="A13" s="63"/>
      <c r="B13" s="63"/>
      <c r="C13" s="66"/>
      <c r="D13" s="66"/>
      <c r="E13" s="54">
        <f t="shared" ca="1" si="0"/>
        <v>46156</v>
      </c>
    </row>
    <row r="14" spans="1:5" ht="15.95">
      <c r="A14" s="54"/>
      <c r="B14" s="54"/>
      <c r="C14" s="57"/>
      <c r="D14" s="57"/>
      <c r="E14" s="54">
        <f t="shared" ca="1" si="0"/>
        <v>46156</v>
      </c>
    </row>
    <row r="15" spans="1:5" ht="15.95">
      <c r="A15" s="63"/>
      <c r="B15" s="63"/>
      <c r="C15" s="66"/>
      <c r="D15" s="66"/>
      <c r="E15" s="54">
        <f t="shared" ca="1" si="0"/>
        <v>46156</v>
      </c>
    </row>
    <row r="16" spans="1:5" ht="15.95">
      <c r="A16" s="54"/>
      <c r="B16" s="54"/>
      <c r="C16" s="57"/>
      <c r="D16" s="57"/>
      <c r="E16" s="54">
        <f t="shared" ca="1" si="0"/>
        <v>46156</v>
      </c>
    </row>
    <row r="17" spans="1:5" ht="15.95">
      <c r="A17" s="63"/>
      <c r="B17" s="63"/>
      <c r="C17" s="66"/>
      <c r="D17" s="66"/>
      <c r="E17" s="54">
        <f t="shared" ca="1" si="0"/>
        <v>46156</v>
      </c>
    </row>
    <row r="18" spans="1:5" ht="15.95">
      <c r="A18" s="54"/>
      <c r="B18" s="54"/>
      <c r="C18" s="57"/>
      <c r="D18" s="57"/>
      <c r="E18" s="54">
        <f t="shared" ca="1" si="0"/>
        <v>46156</v>
      </c>
    </row>
    <row r="19" spans="1:5" ht="15.95">
      <c r="A19" s="63"/>
      <c r="B19" s="63"/>
      <c r="C19" s="66"/>
      <c r="D19" s="66"/>
      <c r="E19" s="54">
        <f t="shared" ca="1" si="0"/>
        <v>46156</v>
      </c>
    </row>
    <row r="20" spans="1:5" ht="15.95">
      <c r="A20" s="54"/>
      <c r="B20" s="54"/>
      <c r="C20" s="57"/>
      <c r="D20" s="57"/>
      <c r="E20" s="54">
        <f t="shared" ca="1" si="0"/>
        <v>46156</v>
      </c>
    </row>
    <row r="21" spans="1:5" ht="15.95">
      <c r="A21" s="63"/>
      <c r="B21" s="63"/>
      <c r="C21" s="66"/>
      <c r="D21" s="66"/>
      <c r="E21" s="54">
        <f t="shared" ca="1" si="0"/>
        <v>46156</v>
      </c>
    </row>
    <row r="22" spans="1:5" ht="15.95">
      <c r="A22" s="54"/>
      <c r="B22" s="54"/>
      <c r="C22" s="57"/>
      <c r="D22" s="57"/>
      <c r="E22" s="54">
        <f t="shared" ca="1" si="0"/>
        <v>46156</v>
      </c>
    </row>
    <row r="23" spans="1:5" ht="15.95">
      <c r="A23" s="63"/>
      <c r="B23" s="63"/>
      <c r="C23" s="66"/>
      <c r="D23" s="66"/>
      <c r="E23" s="54">
        <f t="shared" ca="1" si="0"/>
        <v>46156</v>
      </c>
    </row>
    <row r="24" spans="1:5" ht="15.95">
      <c r="A24" s="54"/>
      <c r="B24" s="54"/>
      <c r="C24" s="57"/>
      <c r="D24" s="57"/>
      <c r="E24" s="54">
        <f t="shared" ca="1" si="0"/>
        <v>46156</v>
      </c>
    </row>
    <row r="25" spans="1:5" ht="15.95">
      <c r="A25" s="63"/>
      <c r="B25" s="63"/>
      <c r="C25" s="66"/>
      <c r="D25" s="66"/>
      <c r="E25" s="54">
        <f t="shared" ca="1" si="0"/>
        <v>46156</v>
      </c>
    </row>
    <row r="26" spans="1:5" ht="15.95">
      <c r="A26" s="54"/>
      <c r="B26" s="54"/>
      <c r="C26" s="57"/>
      <c r="D26" s="57"/>
      <c r="E26" s="54">
        <f t="shared" ca="1" si="0"/>
        <v>46156</v>
      </c>
    </row>
    <row r="27" spans="1:5" ht="15.95">
      <c r="A27" s="63"/>
      <c r="B27" s="63"/>
      <c r="C27" s="66"/>
      <c r="D27" s="66"/>
      <c r="E27" s="54">
        <f t="shared" ca="1" si="0"/>
        <v>46156</v>
      </c>
    </row>
    <row r="28" spans="1:5" ht="15.95">
      <c r="A28" s="54"/>
      <c r="B28" s="54"/>
      <c r="C28" s="57"/>
      <c r="D28" s="57"/>
      <c r="E28" s="54">
        <f t="shared" ca="1" si="0"/>
        <v>46156</v>
      </c>
    </row>
    <row r="29" spans="1:5" ht="15.95">
      <c r="A29" s="63"/>
      <c r="B29" s="63"/>
      <c r="C29" s="66"/>
      <c r="D29" s="66"/>
      <c r="E29" s="54">
        <f t="shared" ca="1" si="0"/>
        <v>46156</v>
      </c>
    </row>
    <row r="30" spans="1:5" ht="15.95">
      <c r="A30" s="54"/>
      <c r="B30" s="54"/>
      <c r="C30" s="57"/>
      <c r="D30" s="57"/>
      <c r="E30" s="54">
        <f t="shared" ca="1" si="0"/>
        <v>46156</v>
      </c>
    </row>
    <row r="31" spans="1:5" ht="15.95">
      <c r="A31" s="63"/>
      <c r="B31" s="63"/>
      <c r="C31" s="66"/>
      <c r="D31" s="66"/>
      <c r="E31" s="54">
        <f t="shared" ca="1" si="0"/>
        <v>46156</v>
      </c>
    </row>
    <row r="32" spans="1:5" ht="15.95">
      <c r="A32" s="54"/>
      <c r="B32" s="54"/>
      <c r="C32" s="57"/>
      <c r="D32" s="57"/>
      <c r="E32" s="54">
        <f t="shared" ca="1" si="0"/>
        <v>46156</v>
      </c>
    </row>
    <row r="33" spans="1:5" ht="15.95">
      <c r="A33" s="63"/>
      <c r="B33" s="63"/>
      <c r="C33" s="66"/>
      <c r="D33" s="66"/>
      <c r="E33" s="54">
        <f t="shared" ca="1" si="0"/>
        <v>46156</v>
      </c>
    </row>
    <row r="34" spans="1:5" ht="15.95">
      <c r="A34" s="54"/>
      <c r="B34" s="54"/>
      <c r="C34" s="57"/>
      <c r="D34" s="57"/>
      <c r="E34" s="54">
        <f t="shared" ca="1" si="0"/>
        <v>46156</v>
      </c>
    </row>
    <row r="35" spans="1:5" ht="15.95">
      <c r="A35" s="63"/>
      <c r="B35" s="63"/>
      <c r="C35" s="66"/>
      <c r="D35" s="66"/>
      <c r="E35" s="54">
        <f t="shared" ca="1" si="0"/>
        <v>46156</v>
      </c>
    </row>
    <row r="36" spans="1:5" ht="15.95">
      <c r="A36" s="54"/>
      <c r="B36" s="54"/>
      <c r="C36" s="57"/>
      <c r="D36" s="57"/>
      <c r="E36" s="54">
        <f t="shared" ca="1" si="0"/>
        <v>46156</v>
      </c>
    </row>
    <row r="37" spans="1:5" ht="15.95">
      <c r="A37" s="63"/>
      <c r="B37" s="63"/>
      <c r="C37" s="66"/>
      <c r="D37" s="66"/>
      <c r="E37" s="54">
        <f t="shared" ca="1" si="0"/>
        <v>46156</v>
      </c>
    </row>
    <row r="38" spans="1:5" ht="15.95">
      <c r="A38" s="54"/>
      <c r="B38" s="54"/>
      <c r="C38" s="57"/>
      <c r="D38" s="57"/>
      <c r="E38" s="54">
        <f t="shared" ca="1" si="0"/>
        <v>46156</v>
      </c>
    </row>
    <row r="39" spans="1:5" ht="15.95">
      <c r="A39" s="63"/>
      <c r="B39" s="63"/>
      <c r="C39" s="66"/>
      <c r="D39" s="66"/>
      <c r="E39" s="54">
        <f t="shared" ca="1" si="0"/>
        <v>46156</v>
      </c>
    </row>
    <row r="40" spans="1:5" ht="15.95">
      <c r="A40" s="54"/>
      <c r="B40" s="54"/>
      <c r="C40" s="57"/>
      <c r="D40" s="57"/>
      <c r="E40" s="54">
        <f t="shared" ca="1" si="0"/>
        <v>46156</v>
      </c>
    </row>
    <row r="41" spans="1:5" ht="15.95">
      <c r="A41" s="63"/>
      <c r="B41" s="63"/>
      <c r="C41" s="66"/>
      <c r="D41" s="66"/>
      <c r="E41" s="54">
        <f t="shared" ca="1" si="0"/>
        <v>46156</v>
      </c>
    </row>
    <row r="42" spans="1:5" ht="15.95">
      <c r="A42" s="54"/>
      <c r="B42" s="54"/>
      <c r="C42" s="57"/>
      <c r="D42" s="57"/>
      <c r="E42" s="54">
        <f t="shared" ca="1" si="0"/>
        <v>46156</v>
      </c>
    </row>
    <row r="43" spans="1:5" ht="15.95">
      <c r="A43" s="63"/>
      <c r="B43" s="63"/>
      <c r="C43" s="66"/>
      <c r="D43" s="66"/>
      <c r="E43" s="54">
        <f t="shared" ca="1" si="0"/>
        <v>46156</v>
      </c>
    </row>
    <row r="44" spans="1:5" ht="15.95">
      <c r="A44" s="54"/>
      <c r="B44" s="54"/>
      <c r="C44" s="57"/>
      <c r="D44" s="57"/>
      <c r="E44" s="54">
        <f t="shared" ca="1" si="0"/>
        <v>46156</v>
      </c>
    </row>
    <row r="45" spans="1:5" ht="15.95">
      <c r="A45" s="63"/>
      <c r="B45" s="63"/>
      <c r="C45" s="66"/>
      <c r="D45" s="66"/>
      <c r="E45" s="54">
        <f t="shared" ca="1" si="0"/>
        <v>46156</v>
      </c>
    </row>
    <row r="46" spans="1:5" ht="15.95">
      <c r="A46" s="54"/>
      <c r="B46" s="54"/>
      <c r="C46" s="57"/>
      <c r="D46" s="57"/>
      <c r="E46" s="54">
        <f t="shared" ca="1" si="0"/>
        <v>46156</v>
      </c>
    </row>
    <row r="47" spans="1:5" ht="15.95">
      <c r="A47" s="63"/>
      <c r="B47" s="63"/>
      <c r="C47" s="66"/>
      <c r="D47" s="66"/>
      <c r="E47" s="54">
        <f t="shared" ca="1" si="0"/>
        <v>46156</v>
      </c>
    </row>
    <row r="48" spans="1:5" ht="15.95">
      <c r="A48" s="54"/>
      <c r="B48" s="54"/>
      <c r="C48" s="57"/>
      <c r="D48" s="57"/>
      <c r="E48" s="54">
        <f t="shared" ca="1" si="0"/>
        <v>46156</v>
      </c>
    </row>
    <row r="49" spans="1:5" ht="15.95">
      <c r="A49" s="63"/>
      <c r="B49" s="63"/>
      <c r="C49" s="66"/>
      <c r="D49" s="66"/>
      <c r="E49" s="54">
        <f t="shared" ca="1" si="0"/>
        <v>46156</v>
      </c>
    </row>
    <row r="50" spans="1:5" ht="15.95">
      <c r="A50" s="54"/>
      <c r="B50" s="54"/>
      <c r="C50" s="57"/>
      <c r="D50" s="57"/>
      <c r="E50" s="54">
        <f t="shared" ca="1" si="0"/>
        <v>46156</v>
      </c>
    </row>
    <row r="51" spans="1:5" ht="15.95">
      <c r="A51" s="63"/>
      <c r="B51" s="63"/>
      <c r="C51" s="66"/>
      <c r="D51" s="66"/>
      <c r="E51" s="54">
        <f t="shared" ca="1" si="0"/>
        <v>46156</v>
      </c>
    </row>
    <row r="52" spans="1:5" ht="15.95">
      <c r="A52" s="54"/>
      <c r="B52" s="54"/>
      <c r="C52" s="57"/>
      <c r="D52" s="57"/>
      <c r="E52" s="54">
        <f t="shared" ca="1" si="0"/>
        <v>46156</v>
      </c>
    </row>
    <row r="53" spans="1:5" ht="15.95">
      <c r="A53" s="63"/>
      <c r="B53" s="63"/>
      <c r="C53" s="66"/>
      <c r="D53" s="66"/>
      <c r="E53" s="54">
        <f t="shared" ca="1" si="0"/>
        <v>46156</v>
      </c>
    </row>
    <row r="54" spans="1:5" ht="15.95">
      <c r="A54" s="104"/>
      <c r="B54" s="104"/>
      <c r="C54" s="106"/>
      <c r="D54" s="106"/>
      <c r="E54" s="54">
        <f t="shared" ca="1" si="0"/>
        <v>46156</v>
      </c>
    </row>
    <row r="55" spans="1:5" ht="16.5" thickBot="1">
      <c r="A55" s="105"/>
      <c r="B55" s="105"/>
      <c r="C55" s="107"/>
      <c r="D55" s="107"/>
      <c r="E55" s="54">
        <f t="shared" ca="1" si="0"/>
        <v>46156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7164-FFBA-4176-A139-98B9757A0FB3}">
  <sheetPr codeName="Planilha3"/>
  <dimension ref="A1:F7"/>
  <sheetViews>
    <sheetView workbookViewId="0">
      <selection activeCell="E9" sqref="E9"/>
    </sheetView>
  </sheetViews>
  <sheetFormatPr defaultRowHeight="14.45"/>
  <cols>
    <col min="2" max="2" width="9.28515625" customWidth="1"/>
  </cols>
  <sheetData>
    <row r="1" spans="1:6" ht="16.5">
      <c r="A1" t="s">
        <v>83</v>
      </c>
      <c r="B1" s="1" t="s">
        <v>84</v>
      </c>
      <c r="C1" s="1" t="s">
        <v>7</v>
      </c>
      <c r="D1" s="1" t="s">
        <v>77</v>
      </c>
      <c r="E1" s="1" t="s">
        <v>10</v>
      </c>
    </row>
    <row r="2" spans="1:6" ht="16.5">
      <c r="A2" s="1" t="s">
        <v>85</v>
      </c>
      <c r="B2" s="1" t="s">
        <v>86</v>
      </c>
      <c r="C2" s="1" t="s">
        <v>12</v>
      </c>
      <c r="D2" s="1" t="s">
        <v>87</v>
      </c>
      <c r="E2" t="s">
        <v>14</v>
      </c>
      <c r="F2" t="s">
        <v>88</v>
      </c>
    </row>
    <row r="3" spans="1:6" ht="16.5">
      <c r="A3" t="s">
        <v>88</v>
      </c>
      <c r="B3" s="1" t="s">
        <v>89</v>
      </c>
      <c r="C3" s="1" t="s">
        <v>16</v>
      </c>
      <c r="D3" s="1" t="s">
        <v>90</v>
      </c>
      <c r="E3" t="s">
        <v>18</v>
      </c>
      <c r="F3" s="1" t="s">
        <v>91</v>
      </c>
    </row>
    <row r="4" spans="1:6" ht="16.5">
      <c r="A4" t="s">
        <v>91</v>
      </c>
      <c r="B4" s="1" t="s">
        <v>92</v>
      </c>
      <c r="C4" s="1" t="s">
        <v>20</v>
      </c>
      <c r="D4" s="1" t="s">
        <v>93</v>
      </c>
      <c r="E4" t="s">
        <v>22</v>
      </c>
      <c r="F4" t="s">
        <v>94</v>
      </c>
    </row>
    <row r="5" spans="1:6" ht="16.5">
      <c r="C5" s="1" t="s">
        <v>24</v>
      </c>
      <c r="F5" t="s">
        <v>95</v>
      </c>
    </row>
    <row r="6" spans="1:6">
      <c r="C6" t="s">
        <v>28</v>
      </c>
    </row>
    <row r="7" spans="1:6">
      <c r="C7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4"/>
  <dimension ref="A1:S73"/>
  <sheetViews>
    <sheetView showGridLines="0" tabSelected="1" workbookViewId="0">
      <pane ySplit="2" topLeftCell="A3" activePane="bottomLeft" state="frozen"/>
      <selection pane="bottomLeft" activeCell="C7" sqref="C7"/>
      <selection activeCell="C1" sqref="C1"/>
    </sheetView>
  </sheetViews>
  <sheetFormatPr defaultColWidth="9.5703125" defaultRowHeight="12.95"/>
  <cols>
    <col min="1" max="1" width="17" style="3" customWidth="1"/>
    <col min="2" max="2" width="56.7109375" style="3" bestFit="1" customWidth="1"/>
    <col min="3" max="3" width="25.85546875" style="3" customWidth="1"/>
    <col min="4" max="4" width="28.42578125" style="3" customWidth="1"/>
    <col min="5" max="5" width="26.85546875" style="3" customWidth="1"/>
    <col min="6" max="6" width="19.42578125" style="3" customWidth="1"/>
    <col min="7" max="7" width="22.28515625" style="3" customWidth="1"/>
    <col min="8" max="8" width="27.7109375" style="3" customWidth="1"/>
    <col min="9" max="9" width="10.28515625" style="3" customWidth="1"/>
    <col min="10" max="10" width="15.7109375" style="3" customWidth="1"/>
    <col min="11" max="11" width="13" style="3" customWidth="1"/>
    <col min="12" max="12" width="15.7109375" style="3" customWidth="1"/>
    <col min="13" max="13" width="16.7109375" style="3" customWidth="1"/>
    <col min="14" max="14" width="13" style="3" customWidth="1"/>
    <col min="15" max="15" width="15.7109375" style="3" customWidth="1"/>
    <col min="16" max="16" width="11.140625" style="3" customWidth="1"/>
    <col min="17" max="17" width="21.28515625" style="3" customWidth="1"/>
    <col min="18" max="19" width="55.5703125" style="2" customWidth="1"/>
    <col min="20" max="16384" width="9.5703125" style="3"/>
  </cols>
  <sheetData>
    <row r="1" spans="1:19" ht="40.15" customHeight="1">
      <c r="A1" s="108" t="s">
        <v>96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10"/>
    </row>
    <row r="2" spans="1:19" s="2" customFormat="1" ht="34.9" customHeight="1">
      <c r="A2" s="89" t="s">
        <v>76</v>
      </c>
      <c r="B2" s="90" t="s">
        <v>97</v>
      </c>
      <c r="C2" s="90" t="s">
        <v>98</v>
      </c>
      <c r="D2" s="90" t="s">
        <v>99</v>
      </c>
      <c r="E2" s="90" t="s">
        <v>100</v>
      </c>
      <c r="F2" s="90" t="s">
        <v>84</v>
      </c>
      <c r="G2" s="90" t="s">
        <v>101</v>
      </c>
      <c r="H2" s="90" t="s">
        <v>102</v>
      </c>
      <c r="I2" s="90" t="s">
        <v>7</v>
      </c>
      <c r="J2" s="90" t="s">
        <v>77</v>
      </c>
      <c r="K2" s="90" t="s">
        <v>10</v>
      </c>
      <c r="L2" s="90" t="s">
        <v>103</v>
      </c>
      <c r="M2" s="90" t="s">
        <v>104</v>
      </c>
      <c r="N2" s="90" t="s">
        <v>105</v>
      </c>
      <c r="O2" s="90" t="s">
        <v>106</v>
      </c>
      <c r="P2" s="90" t="s">
        <v>107</v>
      </c>
      <c r="Q2" s="90" t="s">
        <v>108</v>
      </c>
      <c r="R2" s="90" t="s">
        <v>109</v>
      </c>
      <c r="S2" s="91" t="s">
        <v>110</v>
      </c>
    </row>
    <row r="3" spans="1:19" s="62" customFormat="1" ht="22.15" customHeight="1">
      <c r="A3" s="84" t="str">
        <f>IF(TabelaPortfolio[[#This Row],[Projeto]]&lt;&gt;"","LOG-"&amp;TEXT(ROW()-2,"00"),"")</f>
        <v>LOG-01</v>
      </c>
      <c r="B3" s="55" t="s">
        <v>111</v>
      </c>
      <c r="C3" s="54" t="s">
        <v>112</v>
      </c>
      <c r="D3" s="54" t="s">
        <v>39</v>
      </c>
      <c r="E3" s="54" t="s">
        <v>88</v>
      </c>
      <c r="F3" s="54" t="s">
        <v>92</v>
      </c>
      <c r="G3" s="54" t="s">
        <v>113</v>
      </c>
      <c r="H3" s="54" t="s">
        <v>114</v>
      </c>
      <c r="I3" s="56" t="s">
        <v>24</v>
      </c>
      <c r="J3" s="54" t="s">
        <v>87</v>
      </c>
      <c r="K3" s="54" t="s">
        <v>18</v>
      </c>
      <c r="L3" s="57">
        <v>46023</v>
      </c>
      <c r="M3" s="57">
        <v>46357</v>
      </c>
      <c r="N3" s="58">
        <v>1.6239367973572765</v>
      </c>
      <c r="O3" s="58">
        <v>1.8019447487571119</v>
      </c>
      <c r="P3" s="59">
        <v>0.17800795139983538</v>
      </c>
      <c r="Q3" s="60" t="str">
        <f t="shared" ref="Q3:Q34" ca="1" si="0">IF(M3="","",IF(M3&lt;TODAY(),"⚠️ ATRASADO",IF(M3-TODAY()&lt;30,"⏰ PRÓXIMO","✅ OK")))</f>
        <v>✅ OK</v>
      </c>
      <c r="R3" s="61" t="s">
        <v>115</v>
      </c>
      <c r="S3" s="86" t="s">
        <v>116</v>
      </c>
    </row>
    <row r="4" spans="1:19" s="62" customFormat="1" ht="22.15" customHeight="1">
      <c r="A4" s="85" t="str">
        <f>IF(TabelaPortfolio[[#This Row],[Projeto]]&lt;&gt;"","LOG-"&amp;TEXT(ROW()-2,"00"),"")</f>
        <v>LOG-02</v>
      </c>
      <c r="B4" s="64" t="s">
        <v>117</v>
      </c>
      <c r="C4" s="63" t="s">
        <v>112</v>
      </c>
      <c r="D4" s="63" t="s">
        <v>39</v>
      </c>
      <c r="E4" s="63" t="s">
        <v>88</v>
      </c>
      <c r="F4" s="63" t="s">
        <v>92</v>
      </c>
      <c r="G4" s="63" t="s">
        <v>113</v>
      </c>
      <c r="H4" s="63" t="s">
        <v>118</v>
      </c>
      <c r="I4" s="65" t="s">
        <v>24</v>
      </c>
      <c r="J4" s="63"/>
      <c r="K4" s="63"/>
      <c r="L4" s="66">
        <v>46023</v>
      </c>
      <c r="M4" s="66">
        <v>46357</v>
      </c>
      <c r="N4" s="67">
        <v>2.1455099999999998</v>
      </c>
      <c r="O4" s="67">
        <v>2.1635819999999999</v>
      </c>
      <c r="P4" s="60">
        <v>1.8072000000000088E-2</v>
      </c>
      <c r="Q4" s="59" t="str">
        <f t="shared" ca="1" si="0"/>
        <v>✅ OK</v>
      </c>
      <c r="R4" s="68" t="s">
        <v>119</v>
      </c>
      <c r="S4" s="87"/>
    </row>
    <row r="5" spans="1:19" s="62" customFormat="1" ht="22.15" customHeight="1">
      <c r="A5" s="84" t="str">
        <f>IF(TabelaPortfolio[[#This Row],[Projeto]]&lt;&gt;"","LOG-"&amp;TEXT(ROW()-2,"00"),"")</f>
        <v>LOG-03</v>
      </c>
      <c r="B5" s="55" t="s">
        <v>120</v>
      </c>
      <c r="C5" s="54" t="s">
        <v>112</v>
      </c>
      <c r="D5" s="54" t="s">
        <v>39</v>
      </c>
      <c r="E5" s="54" t="s">
        <v>88</v>
      </c>
      <c r="F5" s="54" t="s">
        <v>92</v>
      </c>
      <c r="G5" s="54" t="s">
        <v>113</v>
      </c>
      <c r="H5" s="54" t="s">
        <v>121</v>
      </c>
      <c r="I5" s="56" t="s">
        <v>24</v>
      </c>
      <c r="J5" s="54"/>
      <c r="K5" s="54"/>
      <c r="L5" s="57">
        <v>46023</v>
      </c>
      <c r="M5" s="57">
        <v>46357</v>
      </c>
      <c r="N5" s="69">
        <v>1.6239367973572765</v>
      </c>
      <c r="O5" s="69">
        <v>1.8019447487571119</v>
      </c>
      <c r="P5" s="70">
        <v>0.17800795139983538</v>
      </c>
      <c r="Q5" s="71" t="str">
        <f t="shared" ca="1" si="0"/>
        <v>✅ OK</v>
      </c>
      <c r="R5" s="61" t="s">
        <v>122</v>
      </c>
      <c r="S5" s="88" t="s">
        <v>123</v>
      </c>
    </row>
    <row r="6" spans="1:19" s="62" customFormat="1" ht="22.15" customHeight="1">
      <c r="A6" s="85" t="str">
        <f>IF(TabelaPortfolio[[#This Row],[Projeto]]&lt;&gt;"","LOG-"&amp;TEXT(ROW()-2,"00"),"")</f>
        <v>LOG-04</v>
      </c>
      <c r="B6" s="64" t="s">
        <v>124</v>
      </c>
      <c r="C6" s="63" t="s">
        <v>112</v>
      </c>
      <c r="D6" s="63" t="s">
        <v>36</v>
      </c>
      <c r="E6" s="63" t="s">
        <v>88</v>
      </c>
      <c r="F6" s="63" t="s">
        <v>92</v>
      </c>
      <c r="G6" s="63" t="s">
        <v>113</v>
      </c>
      <c r="H6" s="63" t="s">
        <v>125</v>
      </c>
      <c r="I6" s="65" t="s">
        <v>24</v>
      </c>
      <c r="J6" s="63"/>
      <c r="K6" s="63"/>
      <c r="L6" s="66"/>
      <c r="M6" s="66"/>
      <c r="N6" s="63"/>
      <c r="O6" s="67">
        <v>5.9599999999999991</v>
      </c>
      <c r="P6" s="60">
        <v>5.9999999999998721E-2</v>
      </c>
      <c r="Q6" s="59" t="str">
        <f t="shared" ca="1" si="0"/>
        <v/>
      </c>
      <c r="R6" s="68" t="s">
        <v>126</v>
      </c>
      <c r="S6" s="87" t="s">
        <v>127</v>
      </c>
    </row>
    <row r="7" spans="1:19" s="62" customFormat="1" ht="22.15" customHeight="1">
      <c r="A7" s="84" t="str">
        <f>IF(TabelaPortfolio[[#This Row],[Projeto]]&lt;&gt;"","LOG-"&amp;TEXT(ROW()-2,"00"),"")</f>
        <v>LOG-05</v>
      </c>
      <c r="B7" s="55" t="s">
        <v>128</v>
      </c>
      <c r="C7" s="54" t="s">
        <v>112</v>
      </c>
      <c r="D7" s="54" t="s">
        <v>43</v>
      </c>
      <c r="E7" s="54" t="s">
        <v>88</v>
      </c>
      <c r="F7" s="54" t="s">
        <v>92</v>
      </c>
      <c r="G7" s="54" t="s">
        <v>113</v>
      </c>
      <c r="H7" s="54" t="s">
        <v>129</v>
      </c>
      <c r="I7" s="56" t="s">
        <v>24</v>
      </c>
      <c r="J7" s="54"/>
      <c r="K7" s="54"/>
      <c r="L7" s="57">
        <v>46023</v>
      </c>
      <c r="M7" s="57">
        <v>46357</v>
      </c>
      <c r="N7" s="58">
        <v>14.026999999999999</v>
      </c>
      <c r="O7" s="58">
        <v>13.907587565511763</v>
      </c>
      <c r="P7" s="59">
        <v>-0.11941243448823613</v>
      </c>
      <c r="Q7" s="60" t="str">
        <f t="shared" ca="1" si="0"/>
        <v>✅ OK</v>
      </c>
      <c r="R7" s="61" t="s">
        <v>130</v>
      </c>
      <c r="S7" s="86" t="s">
        <v>131</v>
      </c>
    </row>
    <row r="8" spans="1:19" s="62" customFormat="1" ht="22.15" customHeight="1">
      <c r="A8" s="85" t="str">
        <f>IF(TabelaPortfolio[[#This Row],[Projeto]]&lt;&gt;"","LOG-"&amp;TEXT(ROW()-2,"00"),"")</f>
        <v>LOG-06</v>
      </c>
      <c r="B8" s="64" t="s">
        <v>132</v>
      </c>
      <c r="C8" s="63" t="s">
        <v>112</v>
      </c>
      <c r="D8" s="63" t="s">
        <v>39</v>
      </c>
      <c r="E8" s="63" t="s">
        <v>91</v>
      </c>
      <c r="F8" s="63" t="s">
        <v>92</v>
      </c>
      <c r="G8" s="63" t="s">
        <v>113</v>
      </c>
      <c r="H8" s="63" t="s">
        <v>133</v>
      </c>
      <c r="I8" s="65" t="s">
        <v>12</v>
      </c>
      <c r="J8" s="63"/>
      <c r="K8" s="63"/>
      <c r="L8" s="66">
        <v>46113</v>
      </c>
      <c r="M8" s="66">
        <v>46473</v>
      </c>
      <c r="N8" s="67" t="s">
        <v>134</v>
      </c>
      <c r="O8" s="67">
        <v>17.402884627800002</v>
      </c>
      <c r="P8" s="67">
        <v>0</v>
      </c>
      <c r="Q8" s="58" t="str">
        <f t="shared" ca="1" si="0"/>
        <v>✅ OK</v>
      </c>
      <c r="R8" s="68" t="s">
        <v>135</v>
      </c>
      <c r="S8" s="87" t="s">
        <v>136</v>
      </c>
    </row>
    <row r="9" spans="1:19" s="62" customFormat="1" ht="22.15" customHeight="1">
      <c r="A9" s="84" t="str">
        <f>IF(TabelaPortfolio[[#This Row],[Projeto]]&lt;&gt;"","LOG-"&amp;TEXT(ROW()-2,"00"),"")</f>
        <v>LOG-07</v>
      </c>
      <c r="B9" s="55" t="s">
        <v>137</v>
      </c>
      <c r="C9" s="54" t="s">
        <v>112</v>
      </c>
      <c r="D9" s="54" t="s">
        <v>21</v>
      </c>
      <c r="E9" s="54" t="s">
        <v>91</v>
      </c>
      <c r="F9" s="54" t="s">
        <v>92</v>
      </c>
      <c r="G9" s="54" t="s">
        <v>113</v>
      </c>
      <c r="H9" s="54" t="s">
        <v>138</v>
      </c>
      <c r="I9" s="56" t="s">
        <v>16</v>
      </c>
      <c r="J9" s="54"/>
      <c r="K9" s="54"/>
      <c r="L9" s="57"/>
      <c r="M9" s="57"/>
      <c r="N9" s="69">
        <v>0</v>
      </c>
      <c r="O9" s="69">
        <v>0</v>
      </c>
      <c r="P9" s="70">
        <v>0</v>
      </c>
      <c r="Q9" s="71" t="str">
        <f t="shared" ca="1" si="0"/>
        <v/>
      </c>
      <c r="R9" s="61" t="s">
        <v>139</v>
      </c>
      <c r="S9" s="86" t="s">
        <v>140</v>
      </c>
    </row>
    <row r="10" spans="1:19" s="62" customFormat="1" ht="22.15" customHeight="1">
      <c r="A10" s="85" t="str">
        <f>IF(TabelaPortfolio[[#This Row],[Projeto]]&lt;&gt;"","LOG-"&amp;TEXT(ROW()-2,"00"),"")</f>
        <v>LOG-08</v>
      </c>
      <c r="B10" s="64" t="s">
        <v>141</v>
      </c>
      <c r="C10" s="63" t="s">
        <v>112</v>
      </c>
      <c r="D10" s="63" t="s">
        <v>36</v>
      </c>
      <c r="E10" s="63" t="s">
        <v>88</v>
      </c>
      <c r="F10" s="63" t="s">
        <v>92</v>
      </c>
      <c r="G10" s="63" t="s">
        <v>113</v>
      </c>
      <c r="H10" s="63" t="s">
        <v>125</v>
      </c>
      <c r="I10" s="65" t="s">
        <v>16</v>
      </c>
      <c r="J10" s="63"/>
      <c r="K10" s="63"/>
      <c r="L10" s="66">
        <v>46082</v>
      </c>
      <c r="M10" s="66">
        <v>46357</v>
      </c>
      <c r="N10" s="67">
        <v>5.2965343616773533</v>
      </c>
      <c r="O10" s="67">
        <v>5.2965343616773524</v>
      </c>
      <c r="P10" s="67">
        <v>0</v>
      </c>
      <c r="Q10" s="58" t="str">
        <f t="shared" ca="1" si="0"/>
        <v>✅ OK</v>
      </c>
      <c r="R10" s="68" t="s">
        <v>142</v>
      </c>
      <c r="S10" s="87" t="s">
        <v>143</v>
      </c>
    </row>
    <row r="11" spans="1:19" s="62" customFormat="1" ht="22.15" customHeight="1">
      <c r="A11" s="84" t="str">
        <f>IF(TabelaPortfolio[[#This Row],[Projeto]]&lt;&gt;"","LOG-"&amp;TEXT(ROW()-2,"00"),"")</f>
        <v>LOG-09</v>
      </c>
      <c r="B11" s="55" t="s">
        <v>144</v>
      </c>
      <c r="C11" s="54" t="s">
        <v>112</v>
      </c>
      <c r="D11" s="54" t="s">
        <v>36</v>
      </c>
      <c r="E11" s="54" t="s">
        <v>88</v>
      </c>
      <c r="F11" s="54" t="s">
        <v>92</v>
      </c>
      <c r="G11" s="54" t="s">
        <v>113</v>
      </c>
      <c r="H11" s="54" t="s">
        <v>145</v>
      </c>
      <c r="I11" s="56" t="s">
        <v>16</v>
      </c>
      <c r="J11" s="54"/>
      <c r="K11" s="54"/>
      <c r="L11" s="57">
        <v>46113</v>
      </c>
      <c r="M11" s="57">
        <v>46473</v>
      </c>
      <c r="N11" s="58">
        <v>0.90100000000000002</v>
      </c>
      <c r="O11" s="58">
        <v>0.90100000000000002</v>
      </c>
      <c r="P11" s="58">
        <v>0</v>
      </c>
      <c r="Q11" s="67" t="str">
        <f t="shared" ca="1" si="0"/>
        <v>✅ OK</v>
      </c>
      <c r="R11" s="61" t="s">
        <v>146</v>
      </c>
      <c r="S11" s="86"/>
    </row>
    <row r="12" spans="1:19" s="62" customFormat="1" ht="22.15" customHeight="1">
      <c r="A12" s="85" t="str">
        <f>IF(TabelaPortfolio[[#This Row],[Projeto]]&lt;&gt;"","LOG-"&amp;TEXT(ROW()-2,"00"),"")</f>
        <v>LOG-10</v>
      </c>
      <c r="B12" s="64" t="s">
        <v>147</v>
      </c>
      <c r="C12" s="63" t="s">
        <v>112</v>
      </c>
      <c r="D12" s="63" t="s">
        <v>36</v>
      </c>
      <c r="E12" s="63" t="s">
        <v>88</v>
      </c>
      <c r="F12" s="63" t="s">
        <v>92</v>
      </c>
      <c r="G12" s="63" t="s">
        <v>113</v>
      </c>
      <c r="H12" s="63" t="s">
        <v>125</v>
      </c>
      <c r="I12" s="65" t="s">
        <v>16</v>
      </c>
      <c r="J12" s="63"/>
      <c r="K12" s="63"/>
      <c r="L12" s="66">
        <v>46204</v>
      </c>
      <c r="M12" s="66">
        <v>46564</v>
      </c>
      <c r="N12" s="67">
        <v>1.285999999999998</v>
      </c>
      <c r="O12" s="67">
        <v>1.2859999999999983</v>
      </c>
      <c r="P12" s="67">
        <v>0</v>
      </c>
      <c r="Q12" s="58" t="str">
        <f t="shared" ca="1" si="0"/>
        <v>✅ OK</v>
      </c>
      <c r="R12" s="68" t="s">
        <v>148</v>
      </c>
      <c r="S12" s="87"/>
    </row>
    <row r="13" spans="1:19" s="62" customFormat="1" ht="22.15" customHeight="1">
      <c r="A13" s="84" t="str">
        <f>IF(TabelaPortfolio[[#This Row],[Projeto]]&lt;&gt;"","LOG-"&amp;TEXT(ROW()-2,"00"),"")</f>
        <v>LOG-11</v>
      </c>
      <c r="B13" s="55" t="s">
        <v>149</v>
      </c>
      <c r="C13" s="54" t="s">
        <v>112</v>
      </c>
      <c r="D13" s="54" t="s">
        <v>43</v>
      </c>
      <c r="E13" s="54" t="s">
        <v>91</v>
      </c>
      <c r="F13" s="54" t="s">
        <v>92</v>
      </c>
      <c r="G13" s="54" t="s">
        <v>113</v>
      </c>
      <c r="H13" s="54" t="s">
        <v>150</v>
      </c>
      <c r="I13" s="56" t="s">
        <v>12</v>
      </c>
      <c r="J13" s="54"/>
      <c r="K13" s="54"/>
      <c r="L13" s="57">
        <v>46023</v>
      </c>
      <c r="M13" s="57">
        <v>46387</v>
      </c>
      <c r="N13" s="58">
        <v>0</v>
      </c>
      <c r="O13" s="58">
        <v>0</v>
      </c>
      <c r="P13" s="58">
        <v>0</v>
      </c>
      <c r="Q13" s="67" t="str">
        <f t="shared" ca="1" si="0"/>
        <v>✅ OK</v>
      </c>
      <c r="R13" s="61" t="s">
        <v>151</v>
      </c>
      <c r="S13" s="86"/>
    </row>
    <row r="14" spans="1:19" s="62" customFormat="1" ht="22.15" customHeight="1">
      <c r="A14" s="85" t="str">
        <f>IF(TabelaPortfolio[[#This Row],[Projeto]]&lt;&gt;"","LOG-"&amp;TEXT(ROW()-2,"00"),"")</f>
        <v>LOG-12</v>
      </c>
      <c r="B14" s="64" t="s">
        <v>152</v>
      </c>
      <c r="C14" s="63" t="s">
        <v>112</v>
      </c>
      <c r="D14" s="63" t="s">
        <v>21</v>
      </c>
      <c r="E14" s="63" t="s">
        <v>91</v>
      </c>
      <c r="F14" s="63" t="s">
        <v>92</v>
      </c>
      <c r="G14" s="63" t="s">
        <v>113</v>
      </c>
      <c r="H14" s="63" t="s">
        <v>153</v>
      </c>
      <c r="I14" s="72" t="s">
        <v>12</v>
      </c>
      <c r="J14" s="63"/>
      <c r="K14" s="63"/>
      <c r="L14" s="66">
        <v>46023</v>
      </c>
      <c r="M14" s="66">
        <v>46387</v>
      </c>
      <c r="N14" s="73">
        <v>0</v>
      </c>
      <c r="O14" s="73">
        <v>0</v>
      </c>
      <c r="P14" s="71">
        <v>0</v>
      </c>
      <c r="Q14" s="70" t="str">
        <f t="shared" ca="1" si="0"/>
        <v>✅ OK</v>
      </c>
      <c r="R14" s="68" t="s">
        <v>154</v>
      </c>
      <c r="S14" s="87" t="s">
        <v>155</v>
      </c>
    </row>
    <row r="15" spans="1:19" s="62" customFormat="1" ht="22.15" customHeight="1">
      <c r="A15" s="84" t="str">
        <f>IF(TabelaPortfolio[[#This Row],[Projeto]]&lt;&gt;"","LOG-"&amp;TEXT(ROW()-2,"00"),"")</f>
        <v>LOG-13</v>
      </c>
      <c r="B15" s="55" t="s">
        <v>156</v>
      </c>
      <c r="C15" s="54" t="s">
        <v>157</v>
      </c>
      <c r="D15" s="54" t="s">
        <v>43</v>
      </c>
      <c r="E15" s="54" t="s">
        <v>88</v>
      </c>
      <c r="F15" s="54" t="s">
        <v>89</v>
      </c>
      <c r="G15" s="63" t="s">
        <v>158</v>
      </c>
      <c r="H15" s="54" t="s">
        <v>129</v>
      </c>
      <c r="I15" s="56" t="s">
        <v>16</v>
      </c>
      <c r="J15" s="54" t="s">
        <v>90</v>
      </c>
      <c r="K15" s="54" t="s">
        <v>18</v>
      </c>
      <c r="L15" s="57">
        <v>46023</v>
      </c>
      <c r="M15" s="57">
        <v>46357</v>
      </c>
      <c r="N15" s="58"/>
      <c r="O15" s="58"/>
      <c r="P15" s="58"/>
      <c r="Q15" s="67" t="str">
        <f t="shared" ca="1" si="0"/>
        <v>✅ OK</v>
      </c>
      <c r="R15" s="61"/>
      <c r="S15" s="86"/>
    </row>
    <row r="16" spans="1:19" s="62" customFormat="1" ht="22.15" customHeight="1">
      <c r="A16" s="85" t="str">
        <f>IF(TabelaPortfolio[[#This Row],[Projeto]]&lt;&gt;"","LOG-"&amp;TEXT(ROW()-2,"00"),"")</f>
        <v>LOG-14</v>
      </c>
      <c r="B16" s="64" t="s">
        <v>159</v>
      </c>
      <c r="C16" s="63" t="s">
        <v>157</v>
      </c>
      <c r="D16" s="63" t="s">
        <v>43</v>
      </c>
      <c r="E16" s="63" t="s">
        <v>88</v>
      </c>
      <c r="F16" s="54" t="s">
        <v>89</v>
      </c>
      <c r="G16" s="63" t="s">
        <v>158</v>
      </c>
      <c r="H16" s="63" t="s">
        <v>129</v>
      </c>
      <c r="I16" s="65" t="s">
        <v>16</v>
      </c>
      <c r="J16" s="63" t="s">
        <v>90</v>
      </c>
      <c r="K16" s="63" t="s">
        <v>14</v>
      </c>
      <c r="L16" s="66">
        <v>46023</v>
      </c>
      <c r="M16" s="66">
        <v>46357</v>
      </c>
      <c r="N16" s="67"/>
      <c r="O16" s="67"/>
      <c r="P16" s="67"/>
      <c r="Q16" s="58" t="str">
        <f t="shared" ca="1" si="0"/>
        <v>✅ OK</v>
      </c>
      <c r="R16" s="68"/>
      <c r="S16" s="87"/>
    </row>
    <row r="17" spans="1:19" s="62" customFormat="1" ht="22.15" customHeight="1">
      <c r="A17" s="84" t="str">
        <f>IF(TabelaPortfolio[[#This Row],[Projeto]]&lt;&gt;"","LOG-"&amp;TEXT(ROW()-2,"00"),"")</f>
        <v>LOG-15</v>
      </c>
      <c r="B17" s="55" t="s">
        <v>160</v>
      </c>
      <c r="C17" s="54" t="s">
        <v>157</v>
      </c>
      <c r="D17" s="54" t="s">
        <v>36</v>
      </c>
      <c r="E17" s="54" t="s">
        <v>88</v>
      </c>
      <c r="F17" s="54" t="s">
        <v>161</v>
      </c>
      <c r="G17" s="54" t="s">
        <v>113</v>
      </c>
      <c r="H17" s="54" t="s">
        <v>162</v>
      </c>
      <c r="I17" s="56" t="s">
        <v>16</v>
      </c>
      <c r="J17" s="54" t="s">
        <v>87</v>
      </c>
      <c r="K17" s="54" t="s">
        <v>18</v>
      </c>
      <c r="L17" s="57">
        <v>46054</v>
      </c>
      <c r="M17" s="57">
        <v>46387</v>
      </c>
      <c r="N17" s="58"/>
      <c r="O17" s="58"/>
      <c r="P17" s="58"/>
      <c r="Q17" s="67" t="str">
        <f t="shared" ca="1" si="0"/>
        <v>✅ OK</v>
      </c>
      <c r="R17" s="61"/>
      <c r="S17" s="86"/>
    </row>
    <row r="18" spans="1:19" s="62" customFormat="1" ht="22.15" customHeight="1">
      <c r="A18" s="85" t="str">
        <f>IF(TabelaPortfolio[[#This Row],[Projeto]]&lt;&gt;"","LOG-"&amp;TEXT(ROW()-2,"00"),"")</f>
        <v>LOG-16</v>
      </c>
      <c r="B18" s="64" t="s">
        <v>163</v>
      </c>
      <c r="C18" s="63" t="s">
        <v>157</v>
      </c>
      <c r="D18" s="63" t="s">
        <v>21</v>
      </c>
      <c r="E18" s="63" t="s">
        <v>88</v>
      </c>
      <c r="F18" s="63" t="s">
        <v>161</v>
      </c>
      <c r="G18" s="63"/>
      <c r="H18" s="63" t="s">
        <v>164</v>
      </c>
      <c r="I18" s="65" t="s">
        <v>20</v>
      </c>
      <c r="J18" s="63" t="s">
        <v>87</v>
      </c>
      <c r="K18" s="63" t="s">
        <v>14</v>
      </c>
      <c r="L18" s="66">
        <v>46054</v>
      </c>
      <c r="M18" s="66">
        <v>46387</v>
      </c>
      <c r="N18" s="67"/>
      <c r="O18" s="67"/>
      <c r="P18" s="67"/>
      <c r="Q18" s="58" t="str">
        <f t="shared" ca="1" si="0"/>
        <v>✅ OK</v>
      </c>
      <c r="R18" s="68"/>
      <c r="S18" s="87"/>
    </row>
    <row r="19" spans="1:19" s="62" customFormat="1" ht="22.15" customHeight="1">
      <c r="A19" s="84" t="str">
        <f>IF(TabelaPortfolio[[#This Row],[Projeto]]&lt;&gt;"","LOG-"&amp;TEXT(ROW()-2,"00"),"")</f>
        <v>LOG-17</v>
      </c>
      <c r="B19" s="55" t="s">
        <v>165</v>
      </c>
      <c r="C19" s="54" t="s">
        <v>157</v>
      </c>
      <c r="D19" s="54" t="s">
        <v>21</v>
      </c>
      <c r="E19" s="54" t="s">
        <v>88</v>
      </c>
      <c r="F19" s="54" t="s">
        <v>161</v>
      </c>
      <c r="G19" s="54"/>
      <c r="H19" s="54" t="s">
        <v>166</v>
      </c>
      <c r="I19" s="56" t="s">
        <v>16</v>
      </c>
      <c r="J19" s="54" t="s">
        <v>87</v>
      </c>
      <c r="K19" s="54" t="s">
        <v>18</v>
      </c>
      <c r="L19" s="57">
        <v>46082</v>
      </c>
      <c r="M19" s="57">
        <v>46357</v>
      </c>
      <c r="N19" s="58"/>
      <c r="O19" s="58"/>
      <c r="P19" s="58"/>
      <c r="Q19" s="67" t="str">
        <f t="shared" ca="1" si="0"/>
        <v>✅ OK</v>
      </c>
      <c r="R19" s="61"/>
      <c r="S19" s="86"/>
    </row>
    <row r="20" spans="1:19" s="62" customFormat="1" ht="22.15" customHeight="1">
      <c r="A20" s="85" t="str">
        <f>IF(TabelaPortfolio[[#This Row],[Projeto]]&lt;&gt;"","LOG-"&amp;TEXT(ROW()-2,"00"),"")</f>
        <v>LOG-18</v>
      </c>
      <c r="B20" s="64" t="s">
        <v>167</v>
      </c>
      <c r="C20" s="63" t="s">
        <v>157</v>
      </c>
      <c r="D20" s="63" t="s">
        <v>43</v>
      </c>
      <c r="E20" s="63" t="s">
        <v>88</v>
      </c>
      <c r="F20" s="63" t="s">
        <v>89</v>
      </c>
      <c r="G20" s="63" t="s">
        <v>158</v>
      </c>
      <c r="H20" s="63" t="s">
        <v>129</v>
      </c>
      <c r="I20" s="65" t="s">
        <v>20</v>
      </c>
      <c r="J20" s="63" t="s">
        <v>87</v>
      </c>
      <c r="K20" s="63" t="s">
        <v>14</v>
      </c>
      <c r="L20" s="66">
        <v>46082</v>
      </c>
      <c r="M20" s="66">
        <v>46357</v>
      </c>
      <c r="N20" s="67"/>
      <c r="O20" s="67"/>
      <c r="P20" s="67"/>
      <c r="Q20" s="58" t="str">
        <f t="shared" ca="1" si="0"/>
        <v>✅ OK</v>
      </c>
      <c r="R20" s="68"/>
      <c r="S20" s="87"/>
    </row>
    <row r="21" spans="1:19" s="62" customFormat="1" ht="22.15" customHeight="1">
      <c r="A21" s="84" t="str">
        <f>IF(TabelaPortfolio[[#This Row],[Projeto]]&lt;&gt;"","LOG-"&amp;TEXT(ROW()-2,"00"),"")</f>
        <v>LOG-19</v>
      </c>
      <c r="B21" s="55" t="s">
        <v>168</v>
      </c>
      <c r="C21" s="54" t="s">
        <v>157</v>
      </c>
      <c r="D21" s="54" t="s">
        <v>39</v>
      </c>
      <c r="E21" s="54" t="s">
        <v>88</v>
      </c>
      <c r="F21" s="54" t="s">
        <v>161</v>
      </c>
      <c r="G21" s="54"/>
      <c r="H21" s="54" t="s">
        <v>169</v>
      </c>
      <c r="I21" s="56" t="s">
        <v>16</v>
      </c>
      <c r="J21" s="54" t="s">
        <v>87</v>
      </c>
      <c r="K21" s="54" t="s">
        <v>18</v>
      </c>
      <c r="L21" s="57">
        <v>46023</v>
      </c>
      <c r="M21" s="57">
        <v>46387</v>
      </c>
      <c r="N21" s="58"/>
      <c r="O21" s="58"/>
      <c r="P21" s="58"/>
      <c r="Q21" s="67" t="str">
        <f t="shared" ca="1" si="0"/>
        <v>✅ OK</v>
      </c>
      <c r="R21" s="61"/>
      <c r="S21" s="86"/>
    </row>
    <row r="22" spans="1:19" s="62" customFormat="1" ht="22.15" customHeight="1">
      <c r="A22" s="85" t="str">
        <f>IF(TabelaPortfolio[[#This Row],[Projeto]]&lt;&gt;"","LOG-"&amp;TEXT(ROW()-2,"00"),"")</f>
        <v>LOG-20</v>
      </c>
      <c r="B22" s="64" t="s">
        <v>170</v>
      </c>
      <c r="C22" s="63" t="s">
        <v>157</v>
      </c>
      <c r="D22" s="63" t="s">
        <v>43</v>
      </c>
      <c r="E22" s="63" t="s">
        <v>91</v>
      </c>
      <c r="F22" s="63" t="s">
        <v>161</v>
      </c>
      <c r="G22" s="63" t="s">
        <v>158</v>
      </c>
      <c r="H22" s="63" t="s">
        <v>171</v>
      </c>
      <c r="I22" s="65" t="s">
        <v>16</v>
      </c>
      <c r="J22" s="63" t="s">
        <v>87</v>
      </c>
      <c r="K22" s="63" t="s">
        <v>18</v>
      </c>
      <c r="L22" s="66">
        <v>46023</v>
      </c>
      <c r="M22" s="66">
        <v>46387</v>
      </c>
      <c r="N22" s="67"/>
      <c r="O22" s="67"/>
      <c r="P22" s="67"/>
      <c r="Q22" s="58" t="str">
        <f t="shared" ca="1" si="0"/>
        <v>✅ OK</v>
      </c>
      <c r="R22" s="68"/>
      <c r="S22" s="87"/>
    </row>
    <row r="23" spans="1:19" s="62" customFormat="1" ht="22.15" customHeight="1">
      <c r="A23" s="84" t="str">
        <f>IF(TabelaPortfolio[[#This Row],[Projeto]]&lt;&gt;"","LOG-"&amp;TEXT(ROW()-2,"00"),"")</f>
        <v>LOG-21</v>
      </c>
      <c r="B23" s="55" t="s">
        <v>172</v>
      </c>
      <c r="C23" s="54" t="s">
        <v>157</v>
      </c>
      <c r="D23" s="54" t="s">
        <v>21</v>
      </c>
      <c r="E23" s="54" t="s">
        <v>88</v>
      </c>
      <c r="F23" s="54" t="s">
        <v>89</v>
      </c>
      <c r="G23" s="54"/>
      <c r="H23" s="54" t="s">
        <v>173</v>
      </c>
      <c r="I23" s="56" t="s">
        <v>20</v>
      </c>
      <c r="J23" s="54" t="s">
        <v>87</v>
      </c>
      <c r="K23" s="54" t="s">
        <v>14</v>
      </c>
      <c r="L23" s="57">
        <v>46113</v>
      </c>
      <c r="M23" s="57">
        <v>46387</v>
      </c>
      <c r="N23" s="58"/>
      <c r="O23" s="58"/>
      <c r="P23" s="58"/>
      <c r="Q23" s="67" t="str">
        <f t="shared" ca="1" si="0"/>
        <v>✅ OK</v>
      </c>
      <c r="R23" s="61"/>
      <c r="S23" s="86"/>
    </row>
    <row r="24" spans="1:19" s="62" customFormat="1" ht="22.15" customHeight="1">
      <c r="A24" s="85" t="str">
        <f>IF(TabelaPortfolio[[#This Row],[Projeto]]&lt;&gt;"","LOG-"&amp;TEXT(ROW()-2,"00"),"")</f>
        <v>LOG-22</v>
      </c>
      <c r="B24" s="64" t="s">
        <v>174</v>
      </c>
      <c r="C24" s="63" t="s">
        <v>157</v>
      </c>
      <c r="D24" s="63" t="s">
        <v>36</v>
      </c>
      <c r="E24" s="63" t="s">
        <v>88</v>
      </c>
      <c r="F24" s="63" t="s">
        <v>161</v>
      </c>
      <c r="G24" s="63" t="s">
        <v>113</v>
      </c>
      <c r="H24" s="63" t="s">
        <v>162</v>
      </c>
      <c r="I24" s="65" t="s">
        <v>20</v>
      </c>
      <c r="J24" s="63" t="s">
        <v>87</v>
      </c>
      <c r="K24" s="63" t="s">
        <v>14</v>
      </c>
      <c r="L24" s="66">
        <v>46113</v>
      </c>
      <c r="M24" s="66">
        <v>46387</v>
      </c>
      <c r="N24" s="67"/>
      <c r="O24" s="67"/>
      <c r="P24" s="67"/>
      <c r="Q24" s="58" t="str">
        <f t="shared" ca="1" si="0"/>
        <v>✅ OK</v>
      </c>
      <c r="R24" s="68"/>
      <c r="S24" s="87"/>
    </row>
    <row r="25" spans="1:19" s="62" customFormat="1" ht="22.15" customHeight="1">
      <c r="A25" s="84" t="str">
        <f>IF(TabelaPortfolio[[#This Row],[Projeto]]&lt;&gt;"","LOG-"&amp;TEXT(ROW()-2,"00"),"")</f>
        <v>LOG-23</v>
      </c>
      <c r="B25" s="55" t="s">
        <v>175</v>
      </c>
      <c r="C25" s="54" t="s">
        <v>157</v>
      </c>
      <c r="D25" s="54" t="s">
        <v>36</v>
      </c>
      <c r="E25" s="54" t="s">
        <v>88</v>
      </c>
      <c r="F25" s="54" t="s">
        <v>161</v>
      </c>
      <c r="G25" s="54" t="s">
        <v>113</v>
      </c>
      <c r="H25" s="54" t="s">
        <v>125</v>
      </c>
      <c r="I25" s="56" t="s">
        <v>16</v>
      </c>
      <c r="J25" s="54" t="s">
        <v>87</v>
      </c>
      <c r="K25" s="54" t="s">
        <v>14</v>
      </c>
      <c r="L25" s="57">
        <v>46143</v>
      </c>
      <c r="M25" s="57">
        <v>46387</v>
      </c>
      <c r="N25" s="58"/>
      <c r="O25" s="58"/>
      <c r="P25" s="58"/>
      <c r="Q25" s="67" t="str">
        <f t="shared" ca="1" si="0"/>
        <v>✅ OK</v>
      </c>
      <c r="R25" s="61"/>
      <c r="S25" s="86"/>
    </row>
    <row r="26" spans="1:19" s="62" customFormat="1" ht="22.15" customHeight="1">
      <c r="A26" s="85" t="str">
        <f>IF(TabelaPortfolio[[#This Row],[Projeto]]&lt;&gt;"","LOG-"&amp;TEXT(ROW()-2,"00"),"")</f>
        <v>LOG-24</v>
      </c>
      <c r="B26" s="64" t="s">
        <v>176</v>
      </c>
      <c r="C26" s="63" t="s">
        <v>157</v>
      </c>
      <c r="D26" s="63" t="s">
        <v>36</v>
      </c>
      <c r="E26" s="63" t="s">
        <v>88</v>
      </c>
      <c r="F26" s="63" t="s">
        <v>161</v>
      </c>
      <c r="G26" s="63"/>
      <c r="H26" s="63" t="s">
        <v>145</v>
      </c>
      <c r="I26" s="65" t="s">
        <v>16</v>
      </c>
      <c r="J26" s="63" t="s">
        <v>87</v>
      </c>
      <c r="K26" s="63" t="s">
        <v>18</v>
      </c>
      <c r="L26" s="66">
        <v>46143</v>
      </c>
      <c r="M26" s="66">
        <v>46387</v>
      </c>
      <c r="N26" s="67"/>
      <c r="O26" s="67"/>
      <c r="P26" s="67"/>
      <c r="Q26" s="58" t="str">
        <f t="shared" ca="1" si="0"/>
        <v>✅ OK</v>
      </c>
      <c r="R26" s="68"/>
      <c r="S26" s="87"/>
    </row>
    <row r="27" spans="1:19" s="62" customFormat="1" ht="22.15" customHeight="1">
      <c r="A27" s="84" t="str">
        <f>IF(TabelaPortfolio[[#This Row],[Projeto]]&lt;&gt;"","LOG-"&amp;TEXT(ROW()-2,"00"),"")</f>
        <v>LOG-25</v>
      </c>
      <c r="B27" s="55" t="s">
        <v>177</v>
      </c>
      <c r="C27" s="54" t="s">
        <v>157</v>
      </c>
      <c r="D27" s="54" t="s">
        <v>36</v>
      </c>
      <c r="E27" s="54" t="s">
        <v>88</v>
      </c>
      <c r="F27" s="54" t="s">
        <v>92</v>
      </c>
      <c r="G27" s="54" t="s">
        <v>113</v>
      </c>
      <c r="H27" s="54" t="s">
        <v>125</v>
      </c>
      <c r="I27" s="56" t="s">
        <v>16</v>
      </c>
      <c r="J27" s="54" t="s">
        <v>87</v>
      </c>
      <c r="K27" s="54" t="s">
        <v>18</v>
      </c>
      <c r="L27" s="57">
        <v>46054</v>
      </c>
      <c r="M27" s="57">
        <v>46357</v>
      </c>
      <c r="N27" s="58"/>
      <c r="O27" s="58"/>
      <c r="P27" s="58"/>
      <c r="Q27" s="67" t="str">
        <f t="shared" ca="1" si="0"/>
        <v>✅ OK</v>
      </c>
      <c r="R27" s="61"/>
      <c r="S27" s="86"/>
    </row>
    <row r="28" spans="1:19" s="62" customFormat="1" ht="22.15" customHeight="1">
      <c r="A28" s="85" t="str">
        <f>IF(TabelaPortfolio[[#This Row],[Projeto]]&lt;&gt;"","LOG-"&amp;TEXT(ROW()-2,"00"),"")</f>
        <v>LOG-26</v>
      </c>
      <c r="B28" s="64" t="s">
        <v>178</v>
      </c>
      <c r="C28" s="63" t="s">
        <v>157</v>
      </c>
      <c r="D28" s="63" t="s">
        <v>21</v>
      </c>
      <c r="E28" s="63" t="s">
        <v>88</v>
      </c>
      <c r="F28" s="63" t="s">
        <v>161</v>
      </c>
      <c r="G28" s="63"/>
      <c r="H28" s="63" t="s">
        <v>179</v>
      </c>
      <c r="I28" s="65" t="s">
        <v>12</v>
      </c>
      <c r="J28" s="63" t="s">
        <v>90</v>
      </c>
      <c r="K28" s="63" t="s">
        <v>14</v>
      </c>
      <c r="L28" s="66">
        <v>46082</v>
      </c>
      <c r="M28" s="66">
        <v>46387</v>
      </c>
      <c r="N28" s="67"/>
      <c r="O28" s="67"/>
      <c r="P28" s="67"/>
      <c r="Q28" s="58" t="str">
        <f t="shared" ca="1" si="0"/>
        <v>✅ OK</v>
      </c>
      <c r="R28" s="68"/>
      <c r="S28" s="87"/>
    </row>
    <row r="29" spans="1:19" s="62" customFormat="1" ht="22.15" customHeight="1">
      <c r="A29" s="84" t="str">
        <f>IF(TabelaPortfolio[[#This Row],[Projeto]]&lt;&gt;"","LOG-"&amp;TEXT(ROW()-2,"00"),"")</f>
        <v>LOG-27</v>
      </c>
      <c r="B29" s="55" t="s">
        <v>180</v>
      </c>
      <c r="C29" s="54" t="s">
        <v>157</v>
      </c>
      <c r="D29" s="54" t="s">
        <v>43</v>
      </c>
      <c r="E29" s="54" t="s">
        <v>91</v>
      </c>
      <c r="F29" s="54" t="s">
        <v>161</v>
      </c>
      <c r="G29" s="63" t="s">
        <v>158</v>
      </c>
      <c r="H29" s="54" t="s">
        <v>181</v>
      </c>
      <c r="I29" s="56" t="s">
        <v>12</v>
      </c>
      <c r="J29" s="54" t="s">
        <v>90</v>
      </c>
      <c r="K29" s="54" t="s">
        <v>18</v>
      </c>
      <c r="L29" s="57">
        <v>46113</v>
      </c>
      <c r="M29" s="57">
        <v>46387</v>
      </c>
      <c r="N29" s="58"/>
      <c r="O29" s="58"/>
      <c r="P29" s="58"/>
      <c r="Q29" s="67" t="str">
        <f t="shared" ca="1" si="0"/>
        <v>✅ OK</v>
      </c>
      <c r="R29" s="61"/>
      <c r="S29" s="86"/>
    </row>
    <row r="30" spans="1:19" s="62" customFormat="1" ht="22.15" customHeight="1">
      <c r="A30" s="85" t="str">
        <f>IF(TabelaPortfolio[[#This Row],[Projeto]]&lt;&gt;"","LOG-"&amp;TEXT(ROW()-2,"00"),"")</f>
        <v>LOG-28</v>
      </c>
      <c r="B30" s="64" t="s">
        <v>182</v>
      </c>
      <c r="C30" s="63" t="s">
        <v>157</v>
      </c>
      <c r="D30" s="63" t="s">
        <v>21</v>
      </c>
      <c r="E30" s="63" t="s">
        <v>88</v>
      </c>
      <c r="F30" s="63" t="s">
        <v>161</v>
      </c>
      <c r="G30" s="63"/>
      <c r="H30" s="63" t="s">
        <v>166</v>
      </c>
      <c r="I30" s="65" t="s">
        <v>16</v>
      </c>
      <c r="J30" s="63" t="s">
        <v>87</v>
      </c>
      <c r="K30" s="63" t="s">
        <v>18</v>
      </c>
      <c r="L30" s="66">
        <v>46023</v>
      </c>
      <c r="M30" s="66">
        <v>46357</v>
      </c>
      <c r="N30" s="67"/>
      <c r="O30" s="67"/>
      <c r="P30" s="67"/>
      <c r="Q30" s="58" t="str">
        <f t="shared" ca="1" si="0"/>
        <v>✅ OK</v>
      </c>
      <c r="R30" s="68"/>
      <c r="S30" s="87"/>
    </row>
    <row r="31" spans="1:19" s="62" customFormat="1" ht="22.15" customHeight="1">
      <c r="A31" s="84" t="str">
        <f>IF(TabelaPortfolio[[#This Row],[Projeto]]&lt;&gt;"","LOG-"&amp;TEXT(ROW()-2,"00"),"")</f>
        <v>LOG-29</v>
      </c>
      <c r="B31" s="55" t="s">
        <v>183</v>
      </c>
      <c r="C31" s="54" t="s">
        <v>157</v>
      </c>
      <c r="D31" s="54" t="s">
        <v>39</v>
      </c>
      <c r="E31" s="54" t="s">
        <v>88</v>
      </c>
      <c r="F31" s="54" t="s">
        <v>161</v>
      </c>
      <c r="G31" s="54"/>
      <c r="H31" s="54" t="s">
        <v>184</v>
      </c>
      <c r="I31" s="56" t="s">
        <v>20</v>
      </c>
      <c r="J31" s="54" t="s">
        <v>87</v>
      </c>
      <c r="K31" s="54" t="s">
        <v>14</v>
      </c>
      <c r="L31" s="57">
        <v>46054</v>
      </c>
      <c r="M31" s="57">
        <v>46387</v>
      </c>
      <c r="N31" s="58"/>
      <c r="O31" s="58"/>
      <c r="P31" s="58"/>
      <c r="Q31" s="67" t="str">
        <f t="shared" ca="1" si="0"/>
        <v>✅ OK</v>
      </c>
      <c r="R31" s="61"/>
      <c r="S31" s="86"/>
    </row>
    <row r="32" spans="1:19" s="62" customFormat="1" ht="22.15" customHeight="1">
      <c r="A32" s="85" t="str">
        <f>IF(TabelaPortfolio[[#This Row],[Projeto]]&lt;&gt;"","LOG-"&amp;TEXT(ROW()-2,"00"),"")</f>
        <v>LOG-30</v>
      </c>
      <c r="B32" s="64" t="s">
        <v>185</v>
      </c>
      <c r="C32" s="63" t="s">
        <v>157</v>
      </c>
      <c r="D32" s="63" t="s">
        <v>21</v>
      </c>
      <c r="E32" s="63" t="s">
        <v>91</v>
      </c>
      <c r="F32" s="63" t="s">
        <v>161</v>
      </c>
      <c r="G32" s="63"/>
      <c r="H32" s="63" t="s">
        <v>186</v>
      </c>
      <c r="I32" s="65" t="s">
        <v>12</v>
      </c>
      <c r="J32" s="63" t="s">
        <v>90</v>
      </c>
      <c r="K32" s="63" t="s">
        <v>14</v>
      </c>
      <c r="L32" s="66">
        <v>46174</v>
      </c>
      <c r="M32" s="66">
        <v>46387</v>
      </c>
      <c r="N32" s="67"/>
      <c r="O32" s="67"/>
      <c r="P32" s="67"/>
      <c r="Q32" s="58" t="str">
        <f t="shared" ca="1" si="0"/>
        <v>✅ OK</v>
      </c>
      <c r="R32" s="68"/>
      <c r="S32" s="87"/>
    </row>
    <row r="33" spans="1:19" s="62" customFormat="1" ht="22.15" customHeight="1">
      <c r="A33" s="84" t="str">
        <f>IF(TabelaPortfolio[[#This Row],[Projeto]]&lt;&gt;"","LOG-"&amp;TEXT(ROW()-2,"00"),"")</f>
        <v>LOG-31</v>
      </c>
      <c r="B33" s="55" t="s">
        <v>187</v>
      </c>
      <c r="C33" s="54" t="s">
        <v>157</v>
      </c>
      <c r="D33" s="54" t="s">
        <v>39</v>
      </c>
      <c r="E33" s="54" t="s">
        <v>88</v>
      </c>
      <c r="F33" s="54" t="s">
        <v>161</v>
      </c>
      <c r="G33" s="54"/>
      <c r="H33" s="54" t="s">
        <v>118</v>
      </c>
      <c r="I33" s="56" t="s">
        <v>16</v>
      </c>
      <c r="J33" s="54" t="s">
        <v>87</v>
      </c>
      <c r="K33" s="54" t="s">
        <v>18</v>
      </c>
      <c r="L33" s="57">
        <v>46082</v>
      </c>
      <c r="M33" s="57">
        <v>46357</v>
      </c>
      <c r="N33" s="58"/>
      <c r="O33" s="58"/>
      <c r="P33" s="58"/>
      <c r="Q33" s="67" t="str">
        <f t="shared" ca="1" si="0"/>
        <v>✅ OK</v>
      </c>
      <c r="R33" s="61"/>
      <c r="S33" s="86"/>
    </row>
    <row r="34" spans="1:19" s="62" customFormat="1" ht="22.15" customHeight="1">
      <c r="A34" s="85" t="str">
        <f>IF(TabelaPortfolio[[#This Row],[Projeto]]&lt;&gt;"","LOG-"&amp;TEXT(ROW()-2,"00"),"")</f>
        <v>LOG-32</v>
      </c>
      <c r="B34" s="64" t="s">
        <v>188</v>
      </c>
      <c r="C34" s="63" t="s">
        <v>157</v>
      </c>
      <c r="D34" s="63" t="s">
        <v>21</v>
      </c>
      <c r="E34" s="63" t="s">
        <v>88</v>
      </c>
      <c r="F34" s="63" t="s">
        <v>89</v>
      </c>
      <c r="G34" s="63"/>
      <c r="H34" s="63" t="s">
        <v>189</v>
      </c>
      <c r="I34" s="65" t="s">
        <v>16</v>
      </c>
      <c r="J34" s="63" t="s">
        <v>87</v>
      </c>
      <c r="K34" s="63" t="s">
        <v>14</v>
      </c>
      <c r="L34" s="66">
        <v>46113</v>
      </c>
      <c r="M34" s="66">
        <v>46387</v>
      </c>
      <c r="N34" s="67"/>
      <c r="O34" s="67"/>
      <c r="P34" s="67"/>
      <c r="Q34" s="58" t="str">
        <f t="shared" ca="1" si="0"/>
        <v>✅ OK</v>
      </c>
      <c r="R34" s="68"/>
      <c r="S34" s="87"/>
    </row>
    <row r="35" spans="1:19" s="62" customFormat="1" ht="22.15" customHeight="1">
      <c r="A35" s="84" t="str">
        <f>IF(TabelaPortfolio[[#This Row],[Projeto]]&lt;&gt;"","LOG-"&amp;TEXT(ROW()-2,"00"),"")</f>
        <v>LOG-33</v>
      </c>
      <c r="B35" s="55" t="s">
        <v>190</v>
      </c>
      <c r="C35" s="54" t="s">
        <v>157</v>
      </c>
      <c r="D35" s="54" t="s">
        <v>43</v>
      </c>
      <c r="E35" s="54" t="s">
        <v>91</v>
      </c>
      <c r="F35" s="54" t="s">
        <v>161</v>
      </c>
      <c r="G35" s="54" t="s">
        <v>113</v>
      </c>
      <c r="H35" s="54" t="s">
        <v>191</v>
      </c>
      <c r="I35" s="56" t="s">
        <v>16</v>
      </c>
      <c r="J35" s="54" t="s">
        <v>87</v>
      </c>
      <c r="K35" s="54" t="s">
        <v>18</v>
      </c>
      <c r="L35" s="57">
        <v>46023</v>
      </c>
      <c r="M35" s="57">
        <v>46357</v>
      </c>
      <c r="N35" s="58"/>
      <c r="O35" s="58"/>
      <c r="P35" s="58"/>
      <c r="Q35" s="67" t="str">
        <f t="shared" ref="Q35:Q55" ca="1" si="1">IF(M35="","",IF(M35&lt;TODAY(),"⚠️ ATRASADO",IF(M35-TODAY()&lt;30,"⏰ PRÓXIMO","✅ OK")))</f>
        <v>✅ OK</v>
      </c>
      <c r="R35" s="61"/>
      <c r="S35" s="86"/>
    </row>
    <row r="36" spans="1:19" s="62" customFormat="1" ht="22.15" customHeight="1">
      <c r="A36" s="85" t="str">
        <f>IF(TabelaPortfolio[[#This Row],[Projeto]]&lt;&gt;"","LOG-"&amp;TEXT(ROW()-2,"00"),"")</f>
        <v>LOG-34</v>
      </c>
      <c r="B36" s="64" t="s">
        <v>192</v>
      </c>
      <c r="C36" s="63" t="s">
        <v>157</v>
      </c>
      <c r="D36" s="63" t="s">
        <v>21</v>
      </c>
      <c r="E36" s="63" t="s">
        <v>88</v>
      </c>
      <c r="F36" s="63" t="s">
        <v>161</v>
      </c>
      <c r="G36" s="63"/>
      <c r="H36" s="63" t="s">
        <v>173</v>
      </c>
      <c r="I36" s="65" t="s">
        <v>20</v>
      </c>
      <c r="J36" s="63" t="s">
        <v>87</v>
      </c>
      <c r="K36" s="63" t="s">
        <v>18</v>
      </c>
      <c r="L36" s="66">
        <v>46143</v>
      </c>
      <c r="M36" s="66">
        <v>46387</v>
      </c>
      <c r="N36" s="67"/>
      <c r="O36" s="67"/>
      <c r="P36" s="67"/>
      <c r="Q36" s="58" t="str">
        <f t="shared" ca="1" si="1"/>
        <v>✅ OK</v>
      </c>
      <c r="R36" s="68"/>
      <c r="S36" s="87"/>
    </row>
    <row r="37" spans="1:19" s="62" customFormat="1" ht="22.15" customHeight="1">
      <c r="A37" s="84" t="str">
        <f>IF(TabelaPortfolio[[#This Row],[Projeto]]&lt;&gt;"","LOG-"&amp;TEXT(ROW()-2,"00"),"")</f>
        <v>LOG-35</v>
      </c>
      <c r="B37" s="55" t="s">
        <v>193</v>
      </c>
      <c r="C37" s="54" t="s">
        <v>157</v>
      </c>
      <c r="D37" s="54" t="s">
        <v>39</v>
      </c>
      <c r="E37" s="54" t="s">
        <v>91</v>
      </c>
      <c r="F37" s="54" t="s">
        <v>161</v>
      </c>
      <c r="G37" s="54"/>
      <c r="H37" s="54" t="s">
        <v>169</v>
      </c>
      <c r="I37" s="56" t="s">
        <v>16</v>
      </c>
      <c r="J37" s="54" t="s">
        <v>87</v>
      </c>
      <c r="K37" s="54" t="s">
        <v>18</v>
      </c>
      <c r="L37" s="57">
        <v>46054</v>
      </c>
      <c r="M37" s="57">
        <v>46357</v>
      </c>
      <c r="N37" s="58"/>
      <c r="O37" s="58"/>
      <c r="P37" s="58"/>
      <c r="Q37" s="67" t="str">
        <f t="shared" ca="1" si="1"/>
        <v>✅ OK</v>
      </c>
      <c r="R37" s="61"/>
      <c r="S37" s="86"/>
    </row>
    <row r="38" spans="1:19" s="62" customFormat="1" ht="22.15" customHeight="1">
      <c r="A38" s="85" t="str">
        <f>IF(TabelaPortfolio[[#This Row],[Projeto]]&lt;&gt;"","LOG-"&amp;TEXT(ROW()-2,"00"),"")</f>
        <v>LOG-36</v>
      </c>
      <c r="B38" s="64" t="s">
        <v>194</v>
      </c>
      <c r="C38" s="63" t="s">
        <v>157</v>
      </c>
      <c r="D38" s="63" t="s">
        <v>39</v>
      </c>
      <c r="E38" s="63" t="s">
        <v>88</v>
      </c>
      <c r="F38" s="63" t="s">
        <v>161</v>
      </c>
      <c r="G38" s="63"/>
      <c r="H38" s="63" t="s">
        <v>169</v>
      </c>
      <c r="I38" s="65" t="s">
        <v>16</v>
      </c>
      <c r="J38" s="63" t="s">
        <v>87</v>
      </c>
      <c r="K38" s="63" t="s">
        <v>22</v>
      </c>
      <c r="L38" s="66">
        <v>46082</v>
      </c>
      <c r="M38" s="66">
        <v>46357</v>
      </c>
      <c r="N38" s="67"/>
      <c r="O38" s="67"/>
      <c r="P38" s="67"/>
      <c r="Q38" s="58" t="str">
        <f t="shared" ca="1" si="1"/>
        <v>✅ OK</v>
      </c>
      <c r="R38" s="68"/>
      <c r="S38" s="87"/>
    </row>
    <row r="39" spans="1:19" s="62" customFormat="1" ht="22.15" customHeight="1">
      <c r="A39" s="84" t="str">
        <f>IF(TabelaPortfolio[[#This Row],[Projeto]]&lt;&gt;"","LOG-"&amp;TEXT(ROW()-2,"00"),"")</f>
        <v>LOG-37</v>
      </c>
      <c r="B39" s="55" t="s">
        <v>195</v>
      </c>
      <c r="C39" s="54" t="s">
        <v>157</v>
      </c>
      <c r="D39" s="54" t="s">
        <v>43</v>
      </c>
      <c r="E39" s="54" t="s">
        <v>88</v>
      </c>
      <c r="F39" s="54" t="s">
        <v>161</v>
      </c>
      <c r="G39" s="54" t="s">
        <v>158</v>
      </c>
      <c r="H39" s="54" t="s">
        <v>196</v>
      </c>
      <c r="I39" s="56" t="s">
        <v>16</v>
      </c>
      <c r="J39" s="54" t="s">
        <v>87</v>
      </c>
      <c r="K39" s="54" t="s">
        <v>18</v>
      </c>
      <c r="L39" s="57">
        <v>46023</v>
      </c>
      <c r="M39" s="57">
        <v>46357</v>
      </c>
      <c r="N39" s="58"/>
      <c r="O39" s="58"/>
      <c r="P39" s="58"/>
      <c r="Q39" s="67" t="str">
        <f t="shared" ca="1" si="1"/>
        <v>✅ OK</v>
      </c>
      <c r="R39" s="61"/>
      <c r="S39" s="86"/>
    </row>
    <row r="40" spans="1:19" s="62" customFormat="1" ht="22.15" customHeight="1">
      <c r="A40" s="85" t="str">
        <f>IF(TabelaPortfolio[[#This Row],[Projeto]]&lt;&gt;"","LOG-"&amp;TEXT(ROW()-2,"00"),"")</f>
        <v>LOG-38</v>
      </c>
      <c r="B40" s="64" t="s">
        <v>197</v>
      </c>
      <c r="C40" s="63" t="s">
        <v>157</v>
      </c>
      <c r="D40" s="63" t="s">
        <v>39</v>
      </c>
      <c r="E40" s="63" t="s">
        <v>88</v>
      </c>
      <c r="F40" s="63" t="s">
        <v>89</v>
      </c>
      <c r="G40" s="63" t="s">
        <v>113</v>
      </c>
      <c r="H40" s="63" t="s">
        <v>118</v>
      </c>
      <c r="I40" s="65" t="s">
        <v>20</v>
      </c>
      <c r="J40" s="63" t="s">
        <v>87</v>
      </c>
      <c r="K40" s="63" t="s">
        <v>14</v>
      </c>
      <c r="L40" s="66">
        <v>46113</v>
      </c>
      <c r="M40" s="66">
        <v>46387</v>
      </c>
      <c r="N40" s="67"/>
      <c r="O40" s="67"/>
      <c r="P40" s="67"/>
      <c r="Q40" s="58" t="str">
        <f t="shared" ca="1" si="1"/>
        <v>✅ OK</v>
      </c>
      <c r="R40" s="68"/>
      <c r="S40" s="87"/>
    </row>
    <row r="41" spans="1:19" s="62" customFormat="1" ht="22.15" customHeight="1">
      <c r="A41" s="84" t="str">
        <f>IF(TabelaPortfolio[[#This Row],[Projeto]]&lt;&gt;"","LOG-"&amp;TEXT(ROW()-2,"00"),"")</f>
        <v>LOG-39</v>
      </c>
      <c r="B41" s="55" t="s">
        <v>198</v>
      </c>
      <c r="C41" s="54" t="s">
        <v>157</v>
      </c>
      <c r="D41" s="54" t="s">
        <v>21</v>
      </c>
      <c r="E41" s="54" t="s">
        <v>88</v>
      </c>
      <c r="F41" s="54" t="s">
        <v>161</v>
      </c>
      <c r="G41" s="54"/>
      <c r="H41" s="54" t="s">
        <v>199</v>
      </c>
      <c r="I41" s="56" t="s">
        <v>16</v>
      </c>
      <c r="J41" s="54" t="s">
        <v>87</v>
      </c>
      <c r="K41" s="54" t="s">
        <v>14</v>
      </c>
      <c r="L41" s="57">
        <v>46143</v>
      </c>
      <c r="M41" s="57">
        <v>46387</v>
      </c>
      <c r="N41" s="58"/>
      <c r="O41" s="58"/>
      <c r="P41" s="58"/>
      <c r="Q41" s="67" t="str">
        <f t="shared" ca="1" si="1"/>
        <v>✅ OK</v>
      </c>
      <c r="R41" s="61"/>
      <c r="S41" s="86"/>
    </row>
    <row r="42" spans="1:19" s="62" customFormat="1" ht="22.15" customHeight="1">
      <c r="A42" s="85" t="str">
        <f>IF(TabelaPortfolio[[#This Row],[Projeto]]&lt;&gt;"","LOG-"&amp;TEXT(ROW()-2,"00"),"")</f>
        <v>LOG-40</v>
      </c>
      <c r="B42" s="64" t="s">
        <v>200</v>
      </c>
      <c r="C42" s="63" t="s">
        <v>157</v>
      </c>
      <c r="D42" s="63" t="s">
        <v>43</v>
      </c>
      <c r="E42" s="63" t="s">
        <v>88</v>
      </c>
      <c r="F42" s="63" t="s">
        <v>161</v>
      </c>
      <c r="G42" s="63" t="s">
        <v>113</v>
      </c>
      <c r="H42" s="63" t="s">
        <v>201</v>
      </c>
      <c r="I42" s="65" t="s">
        <v>16</v>
      </c>
      <c r="J42" s="63" t="s">
        <v>87</v>
      </c>
      <c r="K42" s="63" t="s">
        <v>18</v>
      </c>
      <c r="L42" s="66">
        <v>46054</v>
      </c>
      <c r="M42" s="66">
        <v>46357</v>
      </c>
      <c r="N42" s="67"/>
      <c r="O42" s="67"/>
      <c r="P42" s="67"/>
      <c r="Q42" s="58" t="str">
        <f t="shared" ca="1" si="1"/>
        <v>✅ OK</v>
      </c>
      <c r="R42" s="68"/>
      <c r="S42" s="87"/>
    </row>
    <row r="43" spans="1:19" s="62" customFormat="1" ht="22.15" customHeight="1">
      <c r="A43" s="84" t="str">
        <f>IF(TabelaPortfolio[[#This Row],[Projeto]]&lt;&gt;"","LOG-"&amp;TEXT(ROW()-2,"00"),"")</f>
        <v>LOG-41</v>
      </c>
      <c r="B43" s="55" t="s">
        <v>202</v>
      </c>
      <c r="C43" s="54" t="s">
        <v>157</v>
      </c>
      <c r="D43" s="54" t="s">
        <v>36</v>
      </c>
      <c r="E43" s="54" t="s">
        <v>88</v>
      </c>
      <c r="F43" s="54" t="s">
        <v>161</v>
      </c>
      <c r="G43" s="54" t="s">
        <v>113</v>
      </c>
      <c r="H43" s="54" t="s">
        <v>125</v>
      </c>
      <c r="I43" s="56" t="s">
        <v>12</v>
      </c>
      <c r="J43" s="54" t="s">
        <v>90</v>
      </c>
      <c r="K43" s="54" t="s">
        <v>18</v>
      </c>
      <c r="L43" s="57">
        <v>46174</v>
      </c>
      <c r="M43" s="57">
        <v>46387</v>
      </c>
      <c r="N43" s="58"/>
      <c r="O43" s="58"/>
      <c r="P43" s="58"/>
      <c r="Q43" s="67" t="str">
        <f t="shared" ca="1" si="1"/>
        <v>✅ OK</v>
      </c>
      <c r="R43" s="61"/>
      <c r="S43" s="86"/>
    </row>
    <row r="44" spans="1:19" s="62" customFormat="1" ht="22.15" customHeight="1">
      <c r="A44" s="85" t="str">
        <f>IF(TabelaPortfolio[[#This Row],[Projeto]]&lt;&gt;"","LOG-"&amp;TEXT(ROW()-2,"00"),"")</f>
        <v>LOG-42</v>
      </c>
      <c r="B44" s="64" t="s">
        <v>203</v>
      </c>
      <c r="C44" s="63" t="s">
        <v>157</v>
      </c>
      <c r="D44" s="63" t="s">
        <v>21</v>
      </c>
      <c r="E44" s="63" t="s">
        <v>88</v>
      </c>
      <c r="F44" s="63" t="s">
        <v>89</v>
      </c>
      <c r="G44" s="63"/>
      <c r="H44" s="63" t="s">
        <v>204</v>
      </c>
      <c r="I44" s="65" t="s">
        <v>12</v>
      </c>
      <c r="J44" s="63" t="s">
        <v>90</v>
      </c>
      <c r="K44" s="63" t="s">
        <v>14</v>
      </c>
      <c r="L44" s="66">
        <v>46204</v>
      </c>
      <c r="M44" s="66">
        <v>46387</v>
      </c>
      <c r="N44" s="67"/>
      <c r="O44" s="67"/>
      <c r="P44" s="67"/>
      <c r="Q44" s="58" t="str">
        <f t="shared" ca="1" si="1"/>
        <v>✅ OK</v>
      </c>
      <c r="R44" s="68"/>
      <c r="S44" s="87"/>
    </row>
    <row r="45" spans="1:19" s="62" customFormat="1" ht="22.15" customHeight="1">
      <c r="A45" s="84" t="str">
        <f>IF(TabelaPortfolio[[#This Row],[Projeto]]&lt;&gt;"","LOG-"&amp;TEXT(ROW()-2,"00"),"")</f>
        <v>LOG-43</v>
      </c>
      <c r="B45" s="55" t="s">
        <v>205</v>
      </c>
      <c r="C45" s="54" t="s">
        <v>157</v>
      </c>
      <c r="D45" s="54" t="s">
        <v>39</v>
      </c>
      <c r="E45" s="54" t="s">
        <v>88</v>
      </c>
      <c r="F45" s="54" t="s">
        <v>161</v>
      </c>
      <c r="G45" s="54"/>
      <c r="H45" s="54" t="s">
        <v>169</v>
      </c>
      <c r="I45" s="56" t="s">
        <v>16</v>
      </c>
      <c r="J45" s="54" t="s">
        <v>87</v>
      </c>
      <c r="K45" s="54" t="s">
        <v>18</v>
      </c>
      <c r="L45" s="57">
        <v>46082</v>
      </c>
      <c r="M45" s="57">
        <v>46357</v>
      </c>
      <c r="N45" s="58"/>
      <c r="O45" s="58"/>
      <c r="P45" s="58"/>
      <c r="Q45" s="67" t="str">
        <f t="shared" ca="1" si="1"/>
        <v>✅ OK</v>
      </c>
      <c r="R45" s="61"/>
      <c r="S45" s="86"/>
    </row>
    <row r="46" spans="1:19" s="62" customFormat="1" ht="22.15" customHeight="1">
      <c r="A46" s="85" t="str">
        <f>IF(TabelaPortfolio[[#This Row],[Projeto]]&lt;&gt;"","LOG-"&amp;TEXT(ROW()-2,"00"),"")</f>
        <v>LOG-44</v>
      </c>
      <c r="B46" s="64" t="s">
        <v>206</v>
      </c>
      <c r="C46" s="63" t="s">
        <v>157</v>
      </c>
      <c r="D46" s="63" t="s">
        <v>39</v>
      </c>
      <c r="E46" s="63" t="s">
        <v>88</v>
      </c>
      <c r="F46" s="63" t="s">
        <v>89</v>
      </c>
      <c r="G46" s="63" t="s">
        <v>113</v>
      </c>
      <c r="H46" s="63" t="s">
        <v>207</v>
      </c>
      <c r="I46" s="65" t="s">
        <v>16</v>
      </c>
      <c r="J46" s="63" t="s">
        <v>87</v>
      </c>
      <c r="K46" s="63" t="s">
        <v>18</v>
      </c>
      <c r="L46" s="66">
        <v>46113</v>
      </c>
      <c r="M46" s="66">
        <v>46357</v>
      </c>
      <c r="N46" s="67"/>
      <c r="O46" s="67"/>
      <c r="P46" s="67"/>
      <c r="Q46" s="58" t="str">
        <f t="shared" ca="1" si="1"/>
        <v>✅ OK</v>
      </c>
      <c r="R46" s="68"/>
      <c r="S46" s="87"/>
    </row>
    <row r="47" spans="1:19" s="62" customFormat="1" ht="22.15" customHeight="1">
      <c r="A47" s="84" t="str">
        <f>IF(TabelaPortfolio[[#This Row],[Projeto]]&lt;&gt;"","LOG-"&amp;TEXT(ROW()-2,"00"),"")</f>
        <v>LOG-45</v>
      </c>
      <c r="B47" s="55" t="s">
        <v>208</v>
      </c>
      <c r="C47" s="54" t="s">
        <v>157</v>
      </c>
      <c r="D47" s="54" t="s">
        <v>21</v>
      </c>
      <c r="E47" s="54" t="s">
        <v>88</v>
      </c>
      <c r="F47" s="54" t="s">
        <v>89</v>
      </c>
      <c r="G47" s="54" t="s">
        <v>113</v>
      </c>
      <c r="H47" s="54" t="s">
        <v>173</v>
      </c>
      <c r="I47" s="56" t="s">
        <v>12</v>
      </c>
      <c r="J47" s="54" t="s">
        <v>93</v>
      </c>
      <c r="K47" s="54" t="s">
        <v>14</v>
      </c>
      <c r="L47" s="57">
        <v>46023</v>
      </c>
      <c r="M47" s="57">
        <v>46387</v>
      </c>
      <c r="N47" s="58"/>
      <c r="O47" s="58"/>
      <c r="P47" s="58"/>
      <c r="Q47" s="67" t="str">
        <f t="shared" ca="1" si="1"/>
        <v>✅ OK</v>
      </c>
      <c r="R47" s="61"/>
      <c r="S47" s="86"/>
    </row>
    <row r="48" spans="1:19" s="62" customFormat="1" ht="22.15" customHeight="1">
      <c r="A48" s="85" t="str">
        <f>IF(TabelaPortfolio[[#This Row],[Projeto]]&lt;&gt;"","LOG-"&amp;TEXT(ROW()-2,"00"),"")</f>
        <v>LOG-46</v>
      </c>
      <c r="B48" s="64" t="s">
        <v>209</v>
      </c>
      <c r="C48" s="63" t="s">
        <v>157</v>
      </c>
      <c r="D48" s="63" t="s">
        <v>210</v>
      </c>
      <c r="E48" s="63" t="s">
        <v>91</v>
      </c>
      <c r="F48" s="63" t="s">
        <v>89</v>
      </c>
      <c r="G48" s="63" t="s">
        <v>113</v>
      </c>
      <c r="H48" s="63" t="s">
        <v>211</v>
      </c>
      <c r="I48" s="65" t="s">
        <v>12</v>
      </c>
      <c r="J48" s="63" t="s">
        <v>93</v>
      </c>
      <c r="K48" s="63" t="s">
        <v>14</v>
      </c>
      <c r="L48" s="66">
        <v>46023</v>
      </c>
      <c r="M48" s="66">
        <v>46387</v>
      </c>
      <c r="N48" s="67"/>
      <c r="O48" s="67"/>
      <c r="P48" s="67"/>
      <c r="Q48" s="58" t="str">
        <f t="shared" ca="1" si="1"/>
        <v>✅ OK</v>
      </c>
      <c r="R48" s="68"/>
      <c r="S48" s="87"/>
    </row>
    <row r="49" spans="1:19" s="62" customFormat="1" ht="22.15" customHeight="1">
      <c r="A49" s="84" t="str">
        <f>IF(TabelaPortfolio[[#This Row],[Projeto]]&lt;&gt;"","LOG-"&amp;TEXT(ROW()-2,"00"),"")</f>
        <v>LOG-47</v>
      </c>
      <c r="B49" s="55" t="s">
        <v>212</v>
      </c>
      <c r="C49" s="54" t="s">
        <v>213</v>
      </c>
      <c r="D49" s="54" t="s">
        <v>36</v>
      </c>
      <c r="E49" s="54" t="s">
        <v>88</v>
      </c>
      <c r="F49" s="54" t="s">
        <v>161</v>
      </c>
      <c r="G49" s="54" t="s">
        <v>113</v>
      </c>
      <c r="H49" s="54" t="s">
        <v>125</v>
      </c>
      <c r="I49" s="56" t="s">
        <v>16</v>
      </c>
      <c r="J49" s="54" t="s">
        <v>87</v>
      </c>
      <c r="K49" s="54" t="s">
        <v>14</v>
      </c>
      <c r="L49" s="57">
        <v>46113</v>
      </c>
      <c r="M49" s="57">
        <v>46387</v>
      </c>
      <c r="N49" s="58"/>
      <c r="O49" s="58"/>
      <c r="P49" s="58"/>
      <c r="Q49" s="67" t="str">
        <f t="shared" ca="1" si="1"/>
        <v>✅ OK</v>
      </c>
      <c r="R49" s="61"/>
      <c r="S49" s="86"/>
    </row>
    <row r="50" spans="1:19" s="62" customFormat="1" ht="22.15" customHeight="1">
      <c r="A50" s="85" t="str">
        <f>IF(TabelaPortfolio[[#This Row],[Projeto]]&lt;&gt;"","LOG-"&amp;TEXT(ROW()-2,"00"),"")</f>
        <v>LOG-48</v>
      </c>
      <c r="B50" s="64" t="s">
        <v>214</v>
      </c>
      <c r="C50" s="63" t="s">
        <v>213</v>
      </c>
      <c r="D50" s="63" t="s">
        <v>36</v>
      </c>
      <c r="E50" s="63" t="s">
        <v>88</v>
      </c>
      <c r="F50" s="63" t="s">
        <v>161</v>
      </c>
      <c r="G50" s="63"/>
      <c r="H50" s="63" t="s">
        <v>215</v>
      </c>
      <c r="I50" s="65" t="s">
        <v>20</v>
      </c>
      <c r="J50" s="63" t="s">
        <v>90</v>
      </c>
      <c r="K50" s="63" t="s">
        <v>14</v>
      </c>
      <c r="L50" s="66">
        <v>46054</v>
      </c>
      <c r="M50" s="66">
        <v>46145</v>
      </c>
      <c r="N50" s="67"/>
      <c r="O50" s="67"/>
      <c r="P50" s="67"/>
      <c r="Q50" s="58" t="str">
        <f t="shared" ca="1" si="1"/>
        <v>⚠️ ATRASADO</v>
      </c>
      <c r="R50" s="68"/>
      <c r="S50" s="87"/>
    </row>
    <row r="51" spans="1:19" s="62" customFormat="1" ht="22.15" customHeight="1">
      <c r="A51" s="84" t="str">
        <f>IF(TabelaPortfolio[[#This Row],[Projeto]]&lt;&gt;"","LOG-"&amp;TEXT(ROW()-2,"00"),"")</f>
        <v>LOG-49</v>
      </c>
      <c r="B51" s="55" t="s">
        <v>216</v>
      </c>
      <c r="C51" s="54" t="s">
        <v>213</v>
      </c>
      <c r="D51" s="54" t="s">
        <v>36</v>
      </c>
      <c r="E51" s="54" t="s">
        <v>88</v>
      </c>
      <c r="F51" s="54" t="s">
        <v>161</v>
      </c>
      <c r="G51" s="54"/>
      <c r="H51" s="54" t="s">
        <v>217</v>
      </c>
      <c r="I51" s="56" t="s">
        <v>16</v>
      </c>
      <c r="J51" s="54" t="s">
        <v>87</v>
      </c>
      <c r="K51" s="54" t="s">
        <v>18</v>
      </c>
      <c r="L51" s="57">
        <v>46082</v>
      </c>
      <c r="M51" s="57">
        <v>46357</v>
      </c>
      <c r="N51" s="58"/>
      <c r="O51" s="58"/>
      <c r="P51" s="58"/>
      <c r="Q51" s="67" t="str">
        <f t="shared" ca="1" si="1"/>
        <v>✅ OK</v>
      </c>
      <c r="R51" s="61"/>
      <c r="S51" s="86"/>
    </row>
    <row r="52" spans="1:19" s="62" customFormat="1" ht="22.15" customHeight="1">
      <c r="A52" s="85" t="str">
        <f>IF(TabelaPortfolio[[#This Row],[Projeto]]&lt;&gt;"","LOG-"&amp;TEXT(ROW()-2,"00"),"")</f>
        <v>LOG-50</v>
      </c>
      <c r="B52" s="64" t="s">
        <v>218</v>
      </c>
      <c r="C52" s="63" t="s">
        <v>213</v>
      </c>
      <c r="D52" s="63" t="s">
        <v>36</v>
      </c>
      <c r="E52" s="63" t="s">
        <v>88</v>
      </c>
      <c r="F52" s="63" t="s">
        <v>161</v>
      </c>
      <c r="G52" s="63" t="s">
        <v>113</v>
      </c>
      <c r="H52" s="63" t="s">
        <v>125</v>
      </c>
      <c r="I52" s="65" t="s">
        <v>16</v>
      </c>
      <c r="J52" s="63" t="s">
        <v>87</v>
      </c>
      <c r="K52" s="63" t="s">
        <v>14</v>
      </c>
      <c r="L52" s="66">
        <v>46143</v>
      </c>
      <c r="M52" s="66">
        <v>46387</v>
      </c>
      <c r="N52" s="67"/>
      <c r="O52" s="67"/>
      <c r="P52" s="67"/>
      <c r="Q52" s="58" t="str">
        <f t="shared" ca="1" si="1"/>
        <v>✅ OK</v>
      </c>
      <c r="R52" s="68"/>
      <c r="S52" s="87"/>
    </row>
    <row r="53" spans="1:19" s="62" customFormat="1" ht="22.15" customHeight="1">
      <c r="A53" s="84" t="str">
        <f>IF(TabelaPortfolio[[#This Row],[Projeto]]&lt;&gt;"","LOG-"&amp;TEXT(ROW()-2,"00"),"")</f>
        <v>LOG-51</v>
      </c>
      <c r="B53" s="55" t="s">
        <v>219</v>
      </c>
      <c r="C53" s="54" t="s">
        <v>213</v>
      </c>
      <c r="D53" s="54" t="s">
        <v>36</v>
      </c>
      <c r="E53" s="54" t="s">
        <v>88</v>
      </c>
      <c r="F53" s="54" t="s">
        <v>161</v>
      </c>
      <c r="G53" s="54"/>
      <c r="H53" s="54" t="s">
        <v>145</v>
      </c>
      <c r="I53" s="56" t="s">
        <v>20</v>
      </c>
      <c r="J53" s="54" t="s">
        <v>87</v>
      </c>
      <c r="K53" s="54" t="s">
        <v>18</v>
      </c>
      <c r="L53" s="57">
        <v>46054</v>
      </c>
      <c r="M53" s="57">
        <v>46357</v>
      </c>
      <c r="N53" s="58"/>
      <c r="O53" s="58"/>
      <c r="P53" s="58"/>
      <c r="Q53" s="67" t="str">
        <f t="shared" ca="1" si="1"/>
        <v>✅ OK</v>
      </c>
      <c r="R53" s="61"/>
      <c r="S53" s="86"/>
    </row>
    <row r="54" spans="1:19" s="62" customFormat="1" ht="22.15" customHeight="1">
      <c r="A54" s="85" t="str">
        <f>IF(TabelaPortfolio[[#This Row],[Projeto]]&lt;&gt;"","LOG-"&amp;TEXT(ROW()-2,"00"),"")</f>
        <v>LOG-52</v>
      </c>
      <c r="B54" s="64" t="s">
        <v>220</v>
      </c>
      <c r="C54" s="63" t="s">
        <v>213</v>
      </c>
      <c r="D54" s="63" t="s">
        <v>36</v>
      </c>
      <c r="E54" s="63" t="s">
        <v>88</v>
      </c>
      <c r="F54" s="63" t="s">
        <v>161</v>
      </c>
      <c r="G54" s="63"/>
      <c r="H54" s="63" t="s">
        <v>221</v>
      </c>
      <c r="I54" s="65" t="s">
        <v>16</v>
      </c>
      <c r="J54" s="63" t="s">
        <v>87</v>
      </c>
      <c r="K54" s="63" t="s">
        <v>18</v>
      </c>
      <c r="L54" s="66">
        <v>46082</v>
      </c>
      <c r="M54" s="66">
        <v>46387</v>
      </c>
      <c r="N54" s="67"/>
      <c r="O54" s="67"/>
      <c r="P54" s="67"/>
      <c r="Q54" s="58" t="str">
        <f t="shared" ca="1" si="1"/>
        <v>✅ OK</v>
      </c>
      <c r="R54" s="68"/>
      <c r="S54" s="87"/>
    </row>
    <row r="55" spans="1:19" s="62" customFormat="1" ht="22.15" customHeight="1">
      <c r="A55" s="92" t="str">
        <f>IF(TabelaPortfolio[[#This Row],[Projeto]]&lt;&gt;"","LOG-"&amp;TEXT(ROW()-2,"00"),"")</f>
        <v>LOG-53</v>
      </c>
      <c r="B55" s="93" t="s">
        <v>222</v>
      </c>
      <c r="C55" s="94" t="s">
        <v>157</v>
      </c>
      <c r="D55" s="94" t="s">
        <v>36</v>
      </c>
      <c r="E55" s="94" t="s">
        <v>88</v>
      </c>
      <c r="F55" s="94" t="s">
        <v>161</v>
      </c>
      <c r="G55" s="94"/>
      <c r="H55" s="94" t="s">
        <v>223</v>
      </c>
      <c r="I55" s="95" t="s">
        <v>16</v>
      </c>
      <c r="J55" s="94" t="s">
        <v>87</v>
      </c>
      <c r="K55" s="94" t="s">
        <v>14</v>
      </c>
      <c r="L55" s="96">
        <v>46023</v>
      </c>
      <c r="M55" s="96">
        <v>46387</v>
      </c>
      <c r="N55" s="83"/>
      <c r="O55" s="83"/>
      <c r="P55" s="83"/>
      <c r="Q55" s="82" t="str">
        <f t="shared" ca="1" si="1"/>
        <v>✅ OK</v>
      </c>
      <c r="R55" s="97"/>
      <c r="S55" s="98"/>
    </row>
    <row r="56" spans="1:19" ht="10.15" customHeight="1">
      <c r="A56" s="84" t="str">
        <f>IF(TabelaPortfolio[[#This Row],[Projeto]]&lt;&gt;"","LOG-"&amp;TEXT(ROW()-2,"00"),"")</f>
        <v>LOG-54</v>
      </c>
      <c r="B56" s="55" t="s">
        <v>224</v>
      </c>
      <c r="C56" s="54"/>
      <c r="D56" s="54"/>
      <c r="E56" s="54"/>
      <c r="F56" s="54"/>
      <c r="G56" s="54"/>
      <c r="H56" s="54"/>
      <c r="I56" s="56"/>
      <c r="J56" s="54"/>
      <c r="K56" s="54"/>
      <c r="L56" s="57"/>
      <c r="M56" s="57"/>
      <c r="N56" s="58"/>
      <c r="O56" s="58"/>
      <c r="P56" s="58"/>
      <c r="Q56" s="67" t="str">
        <f ca="1">IF(M56="","",IF(M56&lt;TODAY(),"⚠️ ATRASADO",IF(M56-TODAY()&lt;30,"⏰ PRÓXIMO","✅ OK")))</f>
        <v/>
      </c>
      <c r="R56" s="61"/>
      <c r="S56" s="86"/>
    </row>
    <row r="57" spans="1:19" ht="25.15" customHeight="1" thickBot="1">
      <c r="A57" s="4" t="str">
        <f>IF(B57&lt;&gt;"","LOG-"&amp;TEXT(ROW()-2,"00"),"")</f>
        <v/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52"/>
      <c r="S57" s="52"/>
    </row>
    <row r="58" spans="1:19" ht="15.95" thickBot="1">
      <c r="A58" s="5" t="s">
        <v>225</v>
      </c>
      <c r="B58" s="6" t="s">
        <v>226</v>
      </c>
      <c r="C58" s="6">
        <v>53</v>
      </c>
      <c r="D58" s="6"/>
      <c r="E58" s="6"/>
      <c r="F58" s="6"/>
      <c r="G58" s="6"/>
      <c r="H58" s="6"/>
      <c r="I58" s="6"/>
      <c r="J58" s="6"/>
      <c r="K58" s="6"/>
      <c r="L58" s="6"/>
      <c r="M58" s="6" t="s">
        <v>227</v>
      </c>
      <c r="N58" s="102">
        <f>SUMIF(N3:N56,"&gt;0")</f>
        <v>26.903917956391901</v>
      </c>
      <c r="O58" s="102">
        <f>SUM(O3:O56)</f>
        <v>50.52147805250334</v>
      </c>
      <c r="P58" s="102">
        <f>SUM(P3:P56)</f>
        <v>0.31467546831143345</v>
      </c>
      <c r="Q58" s="6"/>
      <c r="R58" s="53"/>
      <c r="S58" s="53"/>
    </row>
    <row r="59" spans="1:19" ht="30" customHeight="1"/>
    <row r="60" spans="1:19" ht="30" customHeight="1">
      <c r="A60" s="111" t="s">
        <v>228</v>
      </c>
      <c r="B60" s="111"/>
      <c r="C60" s="111"/>
      <c r="D60" s="111"/>
      <c r="E60" s="111"/>
      <c r="F60" s="111"/>
      <c r="G60" s="111"/>
    </row>
    <row r="61" spans="1:19">
      <c r="A61" s="112" t="s">
        <v>229</v>
      </c>
      <c r="B61" s="112"/>
      <c r="C61" s="112"/>
      <c r="D61" s="112"/>
      <c r="E61" s="112"/>
      <c r="F61" s="112"/>
      <c r="G61" s="112"/>
    </row>
    <row r="62" spans="1:19" ht="25.15" customHeight="1">
      <c r="A62" s="74"/>
      <c r="B62" s="74"/>
      <c r="C62" s="74"/>
      <c r="D62" s="74"/>
      <c r="E62" s="74"/>
      <c r="F62" s="74"/>
      <c r="G62" s="74"/>
    </row>
    <row r="63" spans="1:19" ht="14.45">
      <c r="A63" s="75" t="s">
        <v>7</v>
      </c>
      <c r="B63" s="75" t="s">
        <v>61</v>
      </c>
      <c r="C63" s="75" t="s">
        <v>62</v>
      </c>
      <c r="D63" s="75" t="s">
        <v>8</v>
      </c>
      <c r="E63" s="75" t="s">
        <v>230</v>
      </c>
      <c r="F63" s="75" t="s">
        <v>9</v>
      </c>
      <c r="G63" s="74"/>
    </row>
    <row r="64" spans="1:19" ht="29.1">
      <c r="A64" s="76" t="s">
        <v>12</v>
      </c>
      <c r="B64" s="76" t="s">
        <v>64</v>
      </c>
      <c r="C64" s="76" t="s">
        <v>13</v>
      </c>
      <c r="D64" s="76" t="s">
        <v>231</v>
      </c>
      <c r="E64" s="76" t="s">
        <v>232</v>
      </c>
      <c r="F64" s="76">
        <f>COUNTIF(I3:I56,"L0")</f>
        <v>10</v>
      </c>
      <c r="G64" s="74"/>
    </row>
    <row r="65" spans="1:7" ht="29.1">
      <c r="A65" s="77" t="s">
        <v>16</v>
      </c>
      <c r="B65" s="77" t="s">
        <v>66</v>
      </c>
      <c r="C65" s="77" t="s">
        <v>67</v>
      </c>
      <c r="D65" s="77" t="s">
        <v>233</v>
      </c>
      <c r="E65" s="77" t="s">
        <v>234</v>
      </c>
      <c r="F65" s="77">
        <f>COUNTIF(I3:I56,"L1")</f>
        <v>29</v>
      </c>
      <c r="G65" s="74"/>
    </row>
    <row r="66" spans="1:7" ht="29.1">
      <c r="A66" s="78" t="s">
        <v>20</v>
      </c>
      <c r="B66" s="78" t="s">
        <v>69</v>
      </c>
      <c r="C66" s="78" t="s">
        <v>21</v>
      </c>
      <c r="D66" s="78" t="s">
        <v>235</v>
      </c>
      <c r="E66" s="78" t="s">
        <v>236</v>
      </c>
      <c r="F66" s="78">
        <f>COUNTIF(I3:I56,"L2")</f>
        <v>9</v>
      </c>
      <c r="G66" s="74"/>
    </row>
    <row r="67" spans="1:7" ht="29.1">
      <c r="A67" s="79" t="s">
        <v>24</v>
      </c>
      <c r="B67" s="79" t="s">
        <v>71</v>
      </c>
      <c r="C67" s="79" t="s">
        <v>25</v>
      </c>
      <c r="D67" s="79" t="s">
        <v>237</v>
      </c>
      <c r="E67" s="79" t="s">
        <v>238</v>
      </c>
      <c r="F67" s="79">
        <f>COUNTIF(I3:I56,"L3")</f>
        <v>5</v>
      </c>
      <c r="G67" s="74"/>
    </row>
    <row r="68" spans="1:7" ht="29.1">
      <c r="A68" s="80" t="s">
        <v>28</v>
      </c>
      <c r="B68" s="80" t="s">
        <v>73</v>
      </c>
      <c r="C68" s="80" t="s">
        <v>29</v>
      </c>
      <c r="D68" s="80" t="s">
        <v>239</v>
      </c>
      <c r="E68" s="80" t="s">
        <v>240</v>
      </c>
      <c r="F68" s="80">
        <f>COUNTIF(I3:I56,"L4")</f>
        <v>0</v>
      </c>
      <c r="G68" s="74"/>
    </row>
    <row r="69" spans="1:7" ht="29.1">
      <c r="A69" s="81" t="s">
        <v>30</v>
      </c>
      <c r="B69" s="81" t="s">
        <v>51</v>
      </c>
      <c r="C69" s="81" t="s">
        <v>31</v>
      </c>
      <c r="D69" s="81" t="s">
        <v>241</v>
      </c>
      <c r="E69" s="81" t="s">
        <v>242</v>
      </c>
      <c r="F69" s="81">
        <f>COUNTIF(I3:I56,"L5")</f>
        <v>0</v>
      </c>
      <c r="G69" s="74"/>
    </row>
    <row r="70" spans="1:7" ht="14.45">
      <c r="A70" s="74"/>
      <c r="B70" s="74"/>
      <c r="C70" s="74"/>
      <c r="D70" s="74"/>
      <c r="E70" s="74"/>
      <c r="F70" s="74"/>
      <c r="G70" s="74"/>
    </row>
    <row r="71" spans="1:7" ht="14.45">
      <c r="A71" s="74"/>
      <c r="B71" s="74"/>
      <c r="C71" s="74"/>
      <c r="D71" s="74"/>
      <c r="E71" s="74"/>
      <c r="F71" s="74"/>
      <c r="G71" s="74"/>
    </row>
    <row r="72" spans="1:7" ht="14.45">
      <c r="A72" s="74"/>
      <c r="B72" s="74"/>
      <c r="C72" s="74"/>
      <c r="D72" s="74"/>
      <c r="E72" s="74"/>
      <c r="F72" s="74"/>
      <c r="G72" s="74"/>
    </row>
    <row r="73" spans="1:7" ht="14.45">
      <c r="A73" s="74"/>
      <c r="B73" s="74"/>
      <c r="C73" s="74"/>
      <c r="D73" s="74"/>
      <c r="E73" s="74"/>
      <c r="F73" s="74"/>
      <c r="G73" s="74"/>
    </row>
  </sheetData>
  <mergeCells count="3">
    <mergeCell ref="A1:S1"/>
    <mergeCell ref="A60:G60"/>
    <mergeCell ref="A61:G61"/>
  </mergeCells>
  <conditionalFormatting sqref="C3:C56">
    <cfRule type="containsText" dxfId="38" priority="15" operator="containsText" text="Estratégico">
      <formula>NOT(ISERROR(SEARCH("Estratégico",C3)))</formula>
    </cfRule>
  </conditionalFormatting>
  <conditionalFormatting sqref="I3:I56">
    <cfRule type="containsText" dxfId="37" priority="24" operator="containsText" text="L0">
      <formula>NOT(ISERROR(SEARCH("L0",I3)))</formula>
    </cfRule>
    <cfRule type="containsText" dxfId="36" priority="25" operator="containsText" text="L1">
      <formula>NOT(ISERROR(SEARCH("L1",I3)))</formula>
    </cfRule>
    <cfRule type="containsText" dxfId="35" priority="26" operator="containsText" text="L2">
      <formula>NOT(ISERROR(SEARCH("L2",I3)))</formula>
    </cfRule>
    <cfRule type="containsText" dxfId="34" priority="27" operator="containsText" text="L3">
      <formula>NOT(ISERROR(SEARCH("L3",I3)))</formula>
    </cfRule>
    <cfRule type="containsText" dxfId="33" priority="28" operator="containsText" text="L4">
      <formula>NOT(ISERROR(SEARCH("L4",I3)))</formula>
    </cfRule>
    <cfRule type="containsText" dxfId="32" priority="29" operator="containsText" text="L5">
      <formula>NOT(ISERROR(SEARCH("L5",I3)))</formula>
    </cfRule>
  </conditionalFormatting>
  <conditionalFormatting sqref="J3:J56">
    <cfRule type="containsText" dxfId="31" priority="16" operator="containsText" text="Em Dia">
      <formula>NOT(ISERROR(SEARCH("Em Dia",J3)))</formula>
    </cfRule>
    <cfRule type="containsText" dxfId="30" priority="17" operator="containsText" text="Atenção">
      <formula>NOT(ISERROR(SEARCH("Atenção",J3)))</formula>
    </cfRule>
    <cfRule type="containsText" dxfId="29" priority="18" operator="containsText" text="Crítico">
      <formula>NOT(ISERROR(SEARCH("Crítico",J3)))</formula>
    </cfRule>
  </conditionalFormatting>
  <conditionalFormatting sqref="K3:K56">
    <cfRule type="containsText" dxfId="28" priority="19" operator="containsText" text="Alta">
      <formula>NOT(ISERROR(SEARCH("Alta",K3)))</formula>
    </cfRule>
    <cfRule type="containsText" dxfId="27" priority="20" operator="containsText" text="Média">
      <formula>NOT(ISERROR(SEARCH("Média",K3)))</formula>
    </cfRule>
    <cfRule type="containsText" dxfId="26" priority="21" operator="containsText" text="Baixa">
      <formula>NOT(ISERROR(SEARCH("Baixa",K3)))</formula>
    </cfRule>
  </conditionalFormatting>
  <conditionalFormatting sqref="Q3:Q56">
    <cfRule type="containsText" dxfId="25" priority="30" operator="containsText" text="ATRASADO">
      <formula>NOT(ISERROR(SEARCH("ATRASADO",Q3)))</formula>
    </cfRule>
    <cfRule type="containsText" dxfId="24" priority="31" operator="containsText" text="PRÓXIMO">
      <formula>NOT(ISERROR(SEARCH("PRÓXIMO",Q3)))</formula>
    </cfRule>
    <cfRule type="containsText" dxfId="23" priority="32" operator="containsText" text="OK">
      <formula>NOT(ISERROR(SEARCH("OK",Q3)))</formula>
    </cfRule>
  </conditionalFormatting>
  <dataValidations count="5">
    <dataValidation type="list" allowBlank="1" showInputMessage="1" showErrorMessage="1" sqref="E3:E56" xr:uid="{FC221B3D-5347-4500-87CC-198634132113}">
      <formula1>"DGP,OPEX,CAPEX"</formula1>
    </dataValidation>
    <dataValidation type="list" allowBlank="1" showInputMessage="1" showErrorMessage="1" sqref="F3:F56" xr:uid="{6B178828-76E1-4131-AFFC-9242E984EC23}">
      <formula1>"Execução Operacional,Acompanhamento,Execução Financeira,Execução"</formula1>
    </dataValidation>
    <dataValidation type="list" allowBlank="1" showInputMessage="1" showErrorMessage="1" sqref="I3:I56" xr:uid="{1AB95A1F-331D-4CA8-A010-0AE938165670}">
      <formula1>"L0,L1,L2,L3,L4,L5"</formula1>
    </dataValidation>
    <dataValidation type="list" allowBlank="1" showInputMessage="1" showErrorMessage="1" sqref="J3:J56" xr:uid="{6B96CBB0-42FF-41B2-8AA4-5634A1CA083D}">
      <formula1>"🟢 Em Dia,🟡 Atenção,🔴 Crítico"</formula1>
    </dataValidation>
    <dataValidation type="list" allowBlank="1" showInputMessage="1" showErrorMessage="1" sqref="K3:K56" xr:uid="{F86A7009-5A23-43CD-BB6C-ECA5D58932F2}">
      <formula1>"Alta,Média,Baixa"</formula1>
    </dataValidation>
  </dataValidations>
  <printOptions gridLines="1"/>
  <pageMargins left="6.9444444444444441E-3" right="6.9444444444444441E-3" top="1.0416666666666666E-2" bottom="1.0416666666666666E-2" header="0.3" footer="0.3"/>
  <pageSetup paperSize="9" scale="65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0F678961C25F42A60818D832EED552" ma:contentTypeVersion="15" ma:contentTypeDescription="Crie um novo documento." ma:contentTypeScope="" ma:versionID="dc2a7ab8599bba470a78deafa62af16c">
  <xsd:schema xmlns:xsd="http://www.w3.org/2001/XMLSchema" xmlns:xs="http://www.w3.org/2001/XMLSchema" xmlns:p="http://schemas.microsoft.com/office/2006/metadata/properties" xmlns:ns2="48a4df2c-25c0-4bd5-9ad3-969cdc4eb0ad" xmlns:ns3="fe5609ce-cb92-4045-944c-c105fdf4b20b" targetNamespace="http://schemas.microsoft.com/office/2006/metadata/properties" ma:root="true" ma:fieldsID="ffd182497d787a9e927f0f89c1000013" ns2:_="" ns3:_="">
    <xsd:import namespace="48a4df2c-25c0-4bd5-9ad3-969cdc4eb0ad"/>
    <xsd:import namespace="fe5609ce-cb92-4045-944c-c105fdf4b2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a4df2c-25c0-4bd5-9ad3-969cdc4eb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1c8a3b58-1317-4067-bbdf-e53778bd9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5609ce-cb92-4045-944c-c105fdf4b20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9495ef7-c9a5-428c-b11b-841c1a8c4b68}" ma:internalName="TaxCatchAll" ma:showField="CatchAllData" ma:web="fe5609ce-cb92-4045-944c-c105fdf4b2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a4df2c-25c0-4bd5-9ad3-969cdc4eb0ad">
      <Terms xmlns="http://schemas.microsoft.com/office/infopath/2007/PartnerControls"/>
    </lcf76f155ced4ddcb4097134ff3c332f>
    <TaxCatchAll xmlns="fe5609ce-cb92-4045-944c-c105fdf4b20b" xsi:nil="true"/>
  </documentManagement>
</p:properties>
</file>

<file path=customXml/itemProps1.xml><?xml version="1.0" encoding="utf-8"?>
<ds:datastoreItem xmlns:ds="http://schemas.openxmlformats.org/officeDocument/2006/customXml" ds:itemID="{B4FC87EE-D01F-4F08-8D84-C3D05E1D5A3A}"/>
</file>

<file path=customXml/itemProps2.xml><?xml version="1.0" encoding="utf-8"?>
<ds:datastoreItem xmlns:ds="http://schemas.openxmlformats.org/officeDocument/2006/customXml" ds:itemID="{421192A4-7E63-4E34-BFD9-A0D092033413}"/>
</file>

<file path=customXml/itemProps3.xml><?xml version="1.0" encoding="utf-8"?>
<ds:datastoreItem xmlns:ds="http://schemas.openxmlformats.org/officeDocument/2006/customXml" ds:itemID="{4F58F0C4-7563-4480-B156-7EBAF344CD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MANDAR SILVA</dc:creator>
  <cp:keywords/>
  <dc:description/>
  <cp:lastModifiedBy>BRUNO MANDAR SILVA</cp:lastModifiedBy>
  <cp:revision/>
  <dcterms:created xsi:type="dcterms:W3CDTF">2026-04-08T12:57:31Z</dcterms:created>
  <dcterms:modified xsi:type="dcterms:W3CDTF">2026-05-14T20:22:09Z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0x0101006A0F678961C25F42A60818D832EED552</vt:lpwstr>
  </property>
  <property fmtid="{D5CDD505-2E9C-101B-9397-08002B2CF9AE}" pid="3" name="MediaServiceImageTags">
    <vt:lpwstr/>
  </property>
</Properties>
</file>